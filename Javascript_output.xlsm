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es\Desktop\Project2\"/>
    </mc:Choice>
  </mc:AlternateContent>
  <xr:revisionPtr revIDLastSave="0" documentId="8_{803F257F-72DE-4B83-B897-BEE8760D448D}" xr6:coauthVersionLast="38" xr6:coauthVersionMax="38" xr10:uidLastSave="{00000000-0000-0000-0000-000000000000}"/>
  <bookViews>
    <workbookView xWindow="0" yWindow="0" windowWidth="23040" windowHeight="8712" activeTab="4" xr2:uid="{00000000-000D-0000-FFFF-FFFF00000000}"/>
  </bookViews>
  <sheets>
    <sheet name="DATA" sheetId="1" r:id="rId1"/>
    <sheet name="HV_PCT_CHG" sheetId="2" r:id="rId2"/>
    <sheet name="HV_RAW_VALUE" sheetId="3" r:id="rId3"/>
    <sheet name="Javascript_pctchg" sheetId="5" r:id="rId4"/>
    <sheet name="Javascript_values" sheetId="4" r:id="rId5"/>
  </sheets>
  <definedNames>
    <definedName name="_xlnm._FilterDatabase" localSheetId="1" hidden="1">HV_PCT_CHG!$A$1:$R$1</definedName>
    <definedName name="_xlnm._FilterDatabase" localSheetId="2" hidden="1">HV_RAW_VALUE!$A$1:$R$1</definedName>
  </definedNames>
  <calcPr calcId="191029" concurrentManualCount="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6" i="5" l="1"/>
  <c r="E55" i="5"/>
  <c r="E54" i="5"/>
  <c r="F54" i="5" s="1"/>
  <c r="G54" i="5" s="1"/>
  <c r="H54" i="5" s="1"/>
  <c r="I54" i="5" s="1"/>
  <c r="J54" i="5" s="1"/>
  <c r="K54" i="5" s="1"/>
  <c r="L54" i="5" s="1"/>
  <c r="M54" i="5" s="1"/>
  <c r="N54" i="5" s="1"/>
  <c r="O54" i="5" s="1"/>
  <c r="P54" i="5" s="1"/>
  <c r="Q54" i="5" s="1"/>
  <c r="R54" i="5" s="1"/>
  <c r="S54" i="5" s="1"/>
  <c r="T54" i="5" s="1"/>
  <c r="T1" i="5" s="1"/>
  <c r="X53" i="5"/>
  <c r="X52" i="5"/>
  <c r="C52" i="5"/>
  <c r="X51" i="5"/>
  <c r="C51" i="5"/>
  <c r="X50" i="5"/>
  <c r="C50" i="5"/>
  <c r="X49" i="5"/>
  <c r="C49" i="5"/>
  <c r="X48" i="5"/>
  <c r="C48" i="5"/>
  <c r="X47" i="5"/>
  <c r="C47" i="5"/>
  <c r="X46" i="5"/>
  <c r="C46" i="5"/>
  <c r="X45" i="5"/>
  <c r="C45" i="5"/>
  <c r="X44" i="5"/>
  <c r="C44" i="5"/>
  <c r="X43" i="5"/>
  <c r="C43" i="5"/>
  <c r="X42" i="5"/>
  <c r="C42" i="5"/>
  <c r="X41" i="5"/>
  <c r="C41" i="5"/>
  <c r="X40" i="5"/>
  <c r="C40" i="5"/>
  <c r="X39" i="5"/>
  <c r="C39" i="5"/>
  <c r="X38" i="5"/>
  <c r="C38" i="5"/>
  <c r="X37" i="5"/>
  <c r="C37" i="5"/>
  <c r="X36" i="5"/>
  <c r="C36" i="5"/>
  <c r="X35" i="5"/>
  <c r="C35" i="5"/>
  <c r="X34" i="5"/>
  <c r="C34" i="5"/>
  <c r="X33" i="5"/>
  <c r="C33" i="5"/>
  <c r="X32" i="5"/>
  <c r="C32" i="5"/>
  <c r="X31" i="5"/>
  <c r="C31" i="5"/>
  <c r="X30" i="5"/>
  <c r="C30" i="5"/>
  <c r="X29" i="5"/>
  <c r="C29" i="5"/>
  <c r="X28" i="5"/>
  <c r="C28" i="5"/>
  <c r="X27" i="5"/>
  <c r="C27" i="5"/>
  <c r="X26" i="5"/>
  <c r="C26" i="5"/>
  <c r="X25" i="5"/>
  <c r="C25" i="5"/>
  <c r="X24" i="5"/>
  <c r="C24" i="5"/>
  <c r="X23" i="5"/>
  <c r="C23" i="5"/>
  <c r="X22" i="5"/>
  <c r="C22" i="5"/>
  <c r="X21" i="5"/>
  <c r="C21" i="5"/>
  <c r="X20" i="5"/>
  <c r="C20" i="5"/>
  <c r="X19" i="5"/>
  <c r="C19" i="5"/>
  <c r="X18" i="5"/>
  <c r="C18" i="5"/>
  <c r="X17" i="5"/>
  <c r="C17" i="5"/>
  <c r="X16" i="5"/>
  <c r="C16" i="5"/>
  <c r="X15" i="5"/>
  <c r="C15" i="5"/>
  <c r="X14" i="5"/>
  <c r="C14" i="5"/>
  <c r="X13" i="5"/>
  <c r="C13" i="5"/>
  <c r="X12" i="5"/>
  <c r="C12" i="5"/>
  <c r="X11" i="5"/>
  <c r="C11" i="5"/>
  <c r="X10" i="5"/>
  <c r="C10" i="5"/>
  <c r="X9" i="5"/>
  <c r="C9" i="5"/>
  <c r="X8" i="5"/>
  <c r="C8" i="5"/>
  <c r="X7" i="5"/>
  <c r="C7" i="5"/>
  <c r="X6" i="5"/>
  <c r="C6" i="5"/>
  <c r="X5" i="5"/>
  <c r="C5" i="5"/>
  <c r="X4" i="5"/>
  <c r="C4" i="5"/>
  <c r="X3" i="5"/>
  <c r="C3" i="5"/>
  <c r="X2" i="5"/>
  <c r="C2" i="5"/>
  <c r="X1" i="5"/>
  <c r="Q1" i="5"/>
  <c r="M1" i="5"/>
  <c r="L1" i="5"/>
  <c r="K1" i="5"/>
  <c r="J1" i="5"/>
  <c r="I1" i="5"/>
  <c r="H1" i="5"/>
  <c r="G1" i="5"/>
  <c r="F1" i="5"/>
  <c r="E1" i="5"/>
  <c r="D1" i="5"/>
  <c r="X53" i="4"/>
  <c r="X52" i="4"/>
  <c r="X51" i="4"/>
  <c r="X50" i="4"/>
  <c r="X49" i="4"/>
  <c r="X48" i="4"/>
  <c r="X47" i="4"/>
  <c r="X46" i="4"/>
  <c r="X45" i="4"/>
  <c r="X44" i="4"/>
  <c r="X43" i="4"/>
  <c r="X42" i="4"/>
  <c r="X41" i="4"/>
  <c r="X40" i="4"/>
  <c r="X39" i="4"/>
  <c r="X38" i="4"/>
  <c r="X37" i="4"/>
  <c r="X36" i="4"/>
  <c r="X35" i="4"/>
  <c r="X34" i="4"/>
  <c r="X33" i="4"/>
  <c r="X32" i="4"/>
  <c r="X31" i="4"/>
  <c r="X30" i="4"/>
  <c r="X29" i="4"/>
  <c r="X28" i="4"/>
  <c r="X27" i="4"/>
  <c r="X26" i="4"/>
  <c r="X25" i="4"/>
  <c r="X24" i="4"/>
  <c r="X23" i="4"/>
  <c r="X22" i="4"/>
  <c r="X21" i="4"/>
  <c r="X20" i="4"/>
  <c r="X19" i="4"/>
  <c r="X18" i="4"/>
  <c r="X17" i="4"/>
  <c r="X16" i="4"/>
  <c r="X15" i="4"/>
  <c r="X14" i="4"/>
  <c r="X13" i="4"/>
  <c r="X12" i="4"/>
  <c r="X11" i="4"/>
  <c r="X10" i="4"/>
  <c r="X9" i="4"/>
  <c r="X8" i="4"/>
  <c r="X7" i="4"/>
  <c r="X6" i="4"/>
  <c r="X5" i="4"/>
  <c r="X4" i="4"/>
  <c r="X3" i="4"/>
  <c r="X2" i="4"/>
  <c r="X1" i="4"/>
  <c r="D56" i="4"/>
  <c r="K56" i="4"/>
  <c r="S56" i="4"/>
  <c r="F55" i="4"/>
  <c r="G55" i="4" s="1"/>
  <c r="H55" i="4" s="1"/>
  <c r="I55" i="4" s="1"/>
  <c r="J55" i="4" s="1"/>
  <c r="K55" i="4" s="1"/>
  <c r="L55" i="4" s="1"/>
  <c r="M55" i="4" s="1"/>
  <c r="N55" i="4" s="1"/>
  <c r="O55" i="4" s="1"/>
  <c r="P55" i="4" s="1"/>
  <c r="Q55" i="4" s="1"/>
  <c r="R55" i="4" s="1"/>
  <c r="S55" i="4" s="1"/>
  <c r="T55" i="4" s="1"/>
  <c r="T56" i="4" s="1"/>
  <c r="E55" i="4"/>
  <c r="E56" i="4" s="1"/>
  <c r="E54" i="4"/>
  <c r="D1" i="4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B2" i="2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2" i="4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B6" i="3"/>
  <c r="D40" i="5"/>
  <c r="D24" i="5"/>
  <c r="D51" i="5"/>
  <c r="D45" i="5"/>
  <c r="D50" i="5"/>
  <c r="D34" i="5"/>
  <c r="D29" i="5"/>
  <c r="D52" i="5"/>
  <c r="D32" i="5"/>
  <c r="D43" i="5"/>
  <c r="D33" i="5"/>
  <c r="D23" i="5"/>
  <c r="D49" i="5"/>
  <c r="D31" i="5"/>
  <c r="D26" i="5"/>
  <c r="D14" i="5"/>
  <c r="D21" i="5"/>
  <c r="D2" i="5"/>
  <c r="D5" i="5"/>
  <c r="D8" i="5"/>
  <c r="D9" i="5"/>
  <c r="D35" i="5"/>
  <c r="D30" i="5"/>
  <c r="D25" i="5"/>
  <c r="D20" i="5"/>
  <c r="D42" i="5"/>
  <c r="D19" i="5"/>
  <c r="D22" i="5"/>
  <c r="D13" i="5"/>
  <c r="D37" i="5"/>
  <c r="D48" i="5"/>
  <c r="D44" i="5"/>
  <c r="D28" i="5"/>
  <c r="D47" i="5"/>
  <c r="D46" i="5"/>
  <c r="D15" i="5"/>
  <c r="D10" i="5"/>
  <c r="D17" i="5"/>
  <c r="D7" i="5"/>
  <c r="D16" i="5"/>
  <c r="D41" i="5"/>
  <c r="D36" i="5"/>
  <c r="D39" i="5"/>
  <c r="D27" i="5"/>
  <c r="D12" i="5"/>
  <c r="D11" i="5"/>
  <c r="D38" i="5"/>
  <c r="D6" i="5"/>
  <c r="D4" i="5"/>
  <c r="D18" i="5"/>
  <c r="D3" i="5"/>
  <c r="P56" i="4" l="1"/>
  <c r="H56" i="4"/>
  <c r="O56" i="4"/>
  <c r="G56" i="4"/>
  <c r="L56" i="4"/>
  <c r="P1" i="5"/>
  <c r="E56" i="5"/>
  <c r="F55" i="5"/>
  <c r="N1" i="5"/>
  <c r="R1" i="5"/>
  <c r="O1" i="5"/>
  <c r="S1" i="5"/>
  <c r="E1" i="4"/>
  <c r="F54" i="4"/>
  <c r="R56" i="4"/>
  <c r="N56" i="4"/>
  <c r="J56" i="4"/>
  <c r="F56" i="4"/>
  <c r="Q56" i="4"/>
  <c r="M56" i="4"/>
  <c r="I56" i="4"/>
  <c r="D28" i="4"/>
  <c r="D43" i="4"/>
  <c r="D38" i="4"/>
  <c r="D41" i="4"/>
  <c r="D27" i="4"/>
  <c r="D21" i="4"/>
  <c r="D37" i="4"/>
  <c r="D46" i="4"/>
  <c r="D32" i="4"/>
  <c r="D51" i="4"/>
  <c r="D15" i="4"/>
  <c r="D22" i="4"/>
  <c r="D35" i="4"/>
  <c r="D18" i="4"/>
  <c r="D13" i="4"/>
  <c r="D2" i="4"/>
  <c r="D48" i="4"/>
  <c r="D11" i="4"/>
  <c r="D45" i="4"/>
  <c r="D6" i="4"/>
  <c r="D25" i="4"/>
  <c r="D50" i="4"/>
  <c r="D36" i="4"/>
  <c r="D17" i="4"/>
  <c r="D30" i="4"/>
  <c r="D47" i="4"/>
  <c r="D42" i="4"/>
  <c r="D29" i="4"/>
  <c r="D40" i="4"/>
  <c r="D33" i="4"/>
  <c r="D7" i="4"/>
  <c r="D19" i="4"/>
  <c r="D24" i="4"/>
  <c r="D49" i="4"/>
  <c r="D26" i="4"/>
  <c r="D9" i="4"/>
  <c r="D16" i="4"/>
  <c r="D5" i="4"/>
  <c r="D34" i="4"/>
  <c r="D8" i="4"/>
  <c r="D4" i="4"/>
  <c r="D14" i="4"/>
  <c r="D23" i="4"/>
  <c r="D10" i="4"/>
  <c r="D20" i="4"/>
  <c r="D39" i="4"/>
  <c r="D44" i="4"/>
  <c r="D12" i="4"/>
  <c r="D52" i="4"/>
  <c r="D3" i="4"/>
  <c r="D31" i="4"/>
  <c r="F56" i="5" l="1"/>
  <c r="G55" i="5"/>
  <c r="G54" i="4"/>
  <c r="F1" i="4"/>
  <c r="E39" i="5"/>
  <c r="E27" i="5"/>
  <c r="E28" i="5"/>
  <c r="E26" i="5"/>
  <c r="E29" i="5"/>
  <c r="E18" i="5"/>
  <c r="E36" i="5"/>
  <c r="E30" i="5"/>
  <c r="E11" i="5"/>
  <c r="E43" i="5"/>
  <c r="E10" i="5"/>
  <c r="E49" i="5"/>
  <c r="E45" i="5"/>
  <c r="F17" i="4"/>
  <c r="E19" i="4"/>
  <c r="E50" i="5"/>
  <c r="E38" i="5"/>
  <c r="E23" i="5"/>
  <c r="E13" i="5"/>
  <c r="E24" i="5"/>
  <c r="E51" i="5"/>
  <c r="E21" i="5"/>
  <c r="E25" i="5"/>
  <c r="E5" i="5"/>
  <c r="E46" i="5"/>
  <c r="E2" i="5"/>
  <c r="E12" i="5"/>
  <c r="E8" i="5"/>
  <c r="F21" i="4"/>
  <c r="F16" i="4"/>
  <c r="F48" i="4"/>
  <c r="E3" i="4"/>
  <c r="E7" i="4"/>
  <c r="E46" i="4"/>
  <c r="F45" i="4"/>
  <c r="E32" i="4"/>
  <c r="E39" i="4"/>
  <c r="E10" i="4"/>
  <c r="E21" i="4"/>
  <c r="E49" i="4"/>
  <c r="F19" i="4"/>
  <c r="F46" i="4"/>
  <c r="F43" i="4"/>
  <c r="E12" i="4"/>
  <c r="E31" i="4"/>
  <c r="E2" i="4"/>
  <c r="E44" i="5"/>
  <c r="E48" i="5"/>
  <c r="E22" i="5"/>
  <c r="E4" i="5"/>
  <c r="E19" i="5"/>
  <c r="E31" i="5"/>
  <c r="E20" i="5"/>
  <c r="E37" i="5"/>
  <c r="E15" i="5"/>
  <c r="E41" i="5"/>
  <c r="E42" i="5"/>
  <c r="E9" i="5"/>
  <c r="E7" i="5"/>
  <c r="F23" i="4"/>
  <c r="F42" i="4"/>
  <c r="F51" i="4"/>
  <c r="E26" i="4"/>
  <c r="E51" i="4"/>
  <c r="E44" i="4"/>
  <c r="F35" i="4"/>
  <c r="E22" i="4"/>
  <c r="E37" i="4"/>
  <c r="E33" i="4"/>
  <c r="E42" i="4"/>
  <c r="E6" i="4"/>
  <c r="F7" i="4"/>
  <c r="F28" i="4"/>
  <c r="F24" i="4"/>
  <c r="E28" i="4"/>
  <c r="E29" i="4"/>
  <c r="E30" i="4"/>
  <c r="F2" i="4"/>
  <c r="F37" i="4"/>
  <c r="F44" i="4"/>
  <c r="E50" i="4"/>
  <c r="E13" i="4"/>
  <c r="F18" i="4"/>
  <c r="E36" i="4"/>
  <c r="F34" i="4"/>
  <c r="F14" i="4"/>
  <c r="E47" i="5"/>
  <c r="E33" i="5"/>
  <c r="E35" i="5"/>
  <c r="E34" i="5"/>
  <c r="E14" i="5"/>
  <c r="E40" i="5"/>
  <c r="E6" i="5"/>
  <c r="E16" i="5"/>
  <c r="E3" i="5"/>
  <c r="E17" i="5"/>
  <c r="E52" i="5"/>
  <c r="E32" i="5"/>
  <c r="E4" i="4"/>
  <c r="E27" i="4"/>
  <c r="E23" i="4"/>
  <c r="E52" i="4"/>
  <c r="F38" i="4"/>
  <c r="E34" i="4"/>
  <c r="E8" i="4"/>
  <c r="E5" i="4"/>
  <c r="E38" i="4"/>
  <c r="E45" i="4"/>
  <c r="F31" i="4"/>
  <c r="F33" i="4"/>
  <c r="F12" i="4"/>
  <c r="E17" i="4"/>
  <c r="E35" i="4"/>
  <c r="E14" i="4"/>
  <c r="F6" i="4"/>
  <c r="F32" i="4"/>
  <c r="E16" i="4"/>
  <c r="E47" i="4"/>
  <c r="F27" i="4"/>
  <c r="F9" i="4"/>
  <c r="F40" i="4"/>
  <c r="E20" i="4"/>
  <c r="E48" i="4"/>
  <c r="E9" i="4"/>
  <c r="F22" i="4"/>
  <c r="F30" i="4"/>
  <c r="E18" i="4"/>
  <c r="E24" i="4"/>
  <c r="E40" i="4"/>
  <c r="E11" i="4"/>
  <c r="F3" i="4"/>
  <c r="F20" i="4"/>
  <c r="F15" i="4"/>
  <c r="E15" i="4"/>
  <c r="E25" i="4"/>
  <c r="F29" i="4"/>
  <c r="E41" i="4"/>
  <c r="F47" i="4"/>
  <c r="E43" i="4"/>
  <c r="F11" i="4"/>
  <c r="G56" i="5" l="1"/>
  <c r="H55" i="5"/>
  <c r="H54" i="4"/>
  <c r="G1" i="4"/>
  <c r="F52" i="4"/>
  <c r="F43" i="5"/>
  <c r="F40" i="5"/>
  <c r="F31" i="5"/>
  <c r="F21" i="5"/>
  <c r="F27" i="5"/>
  <c r="F7" i="5"/>
  <c r="F34" i="5"/>
  <c r="F32" i="5"/>
  <c r="F29" i="5"/>
  <c r="F19" i="5"/>
  <c r="F15" i="5"/>
  <c r="F23" i="5"/>
  <c r="F18" i="5"/>
  <c r="F39" i="4"/>
  <c r="F42" i="5"/>
  <c r="F50" i="5"/>
  <c r="F12" i="5"/>
  <c r="F11" i="5"/>
  <c r="F16" i="5"/>
  <c r="F2" i="5"/>
  <c r="F46" i="5"/>
  <c r="F35" i="5"/>
  <c r="F20" i="5"/>
  <c r="F9" i="5"/>
  <c r="F14" i="5"/>
  <c r="F13" i="5"/>
  <c r="F50" i="4"/>
  <c r="F13" i="4"/>
  <c r="F41" i="4"/>
  <c r="F26" i="4"/>
  <c r="F4" i="4"/>
  <c r="F24" i="5"/>
  <c r="F36" i="4"/>
  <c r="F5" i="4"/>
  <c r="F38" i="5"/>
  <c r="F39" i="5"/>
  <c r="F30" i="5"/>
  <c r="F36" i="5"/>
  <c r="F45" i="5"/>
  <c r="F4" i="5"/>
  <c r="F8" i="5"/>
  <c r="F26" i="5"/>
  <c r="F5" i="5"/>
  <c r="F10" i="5"/>
  <c r="F41" i="5"/>
  <c r="F6" i="5"/>
  <c r="F37" i="5"/>
  <c r="F10" i="4"/>
  <c r="F52" i="5"/>
  <c r="F25" i="4"/>
  <c r="F8" i="4"/>
  <c r="F49" i="4"/>
  <c r="F49" i="5"/>
  <c r="F48" i="5"/>
  <c r="F22" i="5"/>
  <c r="F3" i="5"/>
  <c r="F47" i="5"/>
  <c r="F33" i="5"/>
  <c r="F17" i="5"/>
  <c r="F51" i="5"/>
  <c r="F44" i="5"/>
  <c r="F28" i="5"/>
  <c r="F25" i="5"/>
  <c r="H56" i="5" l="1"/>
  <c r="I55" i="5"/>
  <c r="H1" i="4"/>
  <c r="I54" i="4"/>
  <c r="G37" i="5"/>
  <c r="G44" i="5"/>
  <c r="G24" i="5"/>
  <c r="G11" i="5"/>
  <c r="G18" i="5"/>
  <c r="G4" i="5"/>
  <c r="G35" i="5"/>
  <c r="G28" i="5"/>
  <c r="G21" i="5"/>
  <c r="G46" i="5"/>
  <c r="G6" i="5"/>
  <c r="G3" i="5"/>
  <c r="G39" i="5"/>
  <c r="G7" i="4"/>
  <c r="G13" i="4"/>
  <c r="G10" i="4"/>
  <c r="G46" i="4"/>
  <c r="G30" i="4"/>
  <c r="G3" i="4"/>
  <c r="G48" i="5"/>
  <c r="G31" i="5"/>
  <c r="G45" i="5"/>
  <c r="G14" i="5"/>
  <c r="G13" i="5"/>
  <c r="G52" i="5"/>
  <c r="G7" i="5"/>
  <c r="G23" i="5"/>
  <c r="G30" i="5"/>
  <c r="G49" i="5"/>
  <c r="G16" i="5"/>
  <c r="G22" i="5"/>
  <c r="G5" i="5"/>
  <c r="G23" i="4"/>
  <c r="G41" i="4"/>
  <c r="G26" i="4"/>
  <c r="G20" i="4"/>
  <c r="G14" i="4"/>
  <c r="G15" i="4"/>
  <c r="G50" i="4"/>
  <c r="G11" i="4"/>
  <c r="G38" i="4"/>
  <c r="G33" i="4"/>
  <c r="G39" i="4"/>
  <c r="G42" i="4"/>
  <c r="G42" i="5"/>
  <c r="G26" i="5"/>
  <c r="G25" i="5"/>
  <c r="G9" i="5"/>
  <c r="G8" i="5"/>
  <c r="G36" i="5"/>
  <c r="G17" i="5"/>
  <c r="G41" i="5"/>
  <c r="G10" i="5"/>
  <c r="G15" i="5"/>
  <c r="G29" i="5"/>
  <c r="G19" i="5"/>
  <c r="G20" i="5"/>
  <c r="G6" i="4"/>
  <c r="G47" i="4"/>
  <c r="G27" i="4"/>
  <c r="G29" i="4"/>
  <c r="G4" i="4"/>
  <c r="G31" i="4"/>
  <c r="G24" i="4"/>
  <c r="G28" i="4"/>
  <c r="G18" i="4"/>
  <c r="G9" i="4"/>
  <c r="G25" i="4"/>
  <c r="G22" i="4"/>
  <c r="G34" i="5"/>
  <c r="G35" i="4"/>
  <c r="G36" i="4"/>
  <c r="G19" i="4"/>
  <c r="G32" i="4"/>
  <c r="G49" i="4"/>
  <c r="G44" i="4"/>
  <c r="G45" i="4"/>
  <c r="G34" i="4"/>
  <c r="G8" i="4"/>
  <c r="G17" i="4"/>
  <c r="G48" i="4"/>
  <c r="G37" i="4"/>
  <c r="G51" i="4"/>
  <c r="G12" i="4"/>
  <c r="G52" i="4"/>
  <c r="G21" i="4"/>
  <c r="G33" i="5"/>
  <c r="G43" i="5"/>
  <c r="G47" i="5"/>
  <c r="G51" i="5"/>
  <c r="G2" i="5"/>
  <c r="G38" i="5"/>
  <c r="G12" i="5"/>
  <c r="G40" i="5"/>
  <c r="G50" i="5"/>
  <c r="G32" i="5"/>
  <c r="G27" i="5"/>
  <c r="G16" i="4"/>
  <c r="G5" i="4"/>
  <c r="G40" i="4"/>
  <c r="G2" i="4"/>
  <c r="G43" i="4"/>
  <c r="I56" i="5" l="1"/>
  <c r="J55" i="5"/>
  <c r="J54" i="4"/>
  <c r="I1" i="4"/>
  <c r="H52" i="5"/>
  <c r="H10" i="5"/>
  <c r="H15" i="5"/>
  <c r="H2" i="5"/>
  <c r="H19" i="4"/>
  <c r="H22" i="4"/>
  <c r="H47" i="4"/>
  <c r="H27" i="4"/>
  <c r="H48" i="4"/>
  <c r="H11" i="5"/>
  <c r="H51" i="4"/>
  <c r="H18" i="4"/>
  <c r="H36" i="5"/>
  <c r="H35" i="5"/>
  <c r="H28" i="5"/>
  <c r="H29" i="5"/>
  <c r="H42" i="5"/>
  <c r="H19" i="5"/>
  <c r="H13" i="5"/>
  <c r="H7" i="5"/>
  <c r="H6" i="5"/>
  <c r="H32" i="5"/>
  <c r="H20" i="5"/>
  <c r="H23" i="5"/>
  <c r="H49" i="4"/>
  <c r="H39" i="4"/>
  <c r="H47" i="5"/>
  <c r="H30" i="5"/>
  <c r="H39" i="5"/>
  <c r="H40" i="5"/>
  <c r="H38" i="5"/>
  <c r="H44" i="5"/>
  <c r="H8" i="5"/>
  <c r="H50" i="5"/>
  <c r="H4" i="5"/>
  <c r="H51" i="5"/>
  <c r="H5" i="5"/>
  <c r="H14" i="5"/>
  <c r="H31" i="5"/>
  <c r="H42" i="4"/>
  <c r="H40" i="4"/>
  <c r="H32" i="4"/>
  <c r="H52" i="4"/>
  <c r="H16" i="4"/>
  <c r="H46" i="4"/>
  <c r="H30" i="4"/>
  <c r="H2" i="4"/>
  <c r="H12" i="4"/>
  <c r="H34" i="4"/>
  <c r="H13" i="4"/>
  <c r="H43" i="4"/>
  <c r="H10" i="4"/>
  <c r="H29" i="4"/>
  <c r="H15" i="4"/>
  <c r="H17" i="4"/>
  <c r="H7" i="4"/>
  <c r="H37" i="4"/>
  <c r="H4" i="4"/>
  <c r="H41" i="5"/>
  <c r="H25" i="5"/>
  <c r="H49" i="5"/>
  <c r="H43" i="5"/>
  <c r="H27" i="5"/>
  <c r="H24" i="5"/>
  <c r="H17" i="5"/>
  <c r="H21" i="5"/>
  <c r="H26" i="5"/>
  <c r="H33" i="5"/>
  <c r="H16" i="5"/>
  <c r="H45" i="5"/>
  <c r="H38" i="4"/>
  <c r="H24" i="4"/>
  <c r="H36" i="4"/>
  <c r="H25" i="4"/>
  <c r="H11" i="4"/>
  <c r="H50" i="4"/>
  <c r="H44" i="4"/>
  <c r="H41" i="4"/>
  <c r="H20" i="4"/>
  <c r="H9" i="4"/>
  <c r="H3" i="4"/>
  <c r="H45" i="4"/>
  <c r="H23" i="4"/>
  <c r="H46" i="5"/>
  <c r="H48" i="5"/>
  <c r="H34" i="5"/>
  <c r="H37" i="5"/>
  <c r="H22" i="5"/>
  <c r="H12" i="5"/>
  <c r="H18" i="5"/>
  <c r="H9" i="5"/>
  <c r="H3" i="5"/>
  <c r="H33" i="4"/>
  <c r="H5" i="4"/>
  <c r="H35" i="4"/>
  <c r="H8" i="4"/>
  <c r="H28" i="4"/>
  <c r="H26" i="4"/>
  <c r="H14" i="4"/>
  <c r="H31" i="4"/>
  <c r="H6" i="4"/>
  <c r="H21" i="4"/>
  <c r="J56" i="5" l="1"/>
  <c r="K55" i="5"/>
  <c r="K54" i="4"/>
  <c r="J1" i="4"/>
  <c r="I51" i="5"/>
  <c r="I4" i="5"/>
  <c r="I12" i="5"/>
  <c r="I40" i="4"/>
  <c r="I18" i="4"/>
  <c r="I52" i="4"/>
  <c r="I11" i="4"/>
  <c r="I34" i="4"/>
  <c r="I13" i="4"/>
  <c r="I39" i="4"/>
  <c r="I37" i="4"/>
  <c r="I45" i="4"/>
  <c r="I35" i="5"/>
  <c r="I23" i="5"/>
  <c r="I32" i="5"/>
  <c r="I10" i="5"/>
  <c r="I45" i="5"/>
  <c r="I22" i="5"/>
  <c r="I3" i="5"/>
  <c r="I42" i="5"/>
  <c r="I25" i="5"/>
  <c r="I37" i="5"/>
  <c r="I27" i="5"/>
  <c r="I11" i="5"/>
  <c r="I7" i="5"/>
  <c r="I41" i="4"/>
  <c r="I49" i="4"/>
  <c r="I20" i="4"/>
  <c r="I38" i="4"/>
  <c r="I46" i="4"/>
  <c r="I30" i="4"/>
  <c r="I3" i="4"/>
  <c r="I50" i="4"/>
  <c r="I12" i="4"/>
  <c r="I14" i="4"/>
  <c r="I21" i="4"/>
  <c r="I36" i="4"/>
  <c r="I4" i="4"/>
  <c r="I30" i="5"/>
  <c r="I47" i="4"/>
  <c r="I46" i="5"/>
  <c r="I44" i="5"/>
  <c r="I9" i="5"/>
  <c r="I49" i="5"/>
  <c r="I24" i="5"/>
  <c r="I17" i="5"/>
  <c r="I13" i="5"/>
  <c r="I29" i="5"/>
  <c r="I20" i="5"/>
  <c r="I2" i="5"/>
  <c r="I21" i="5"/>
  <c r="I16" i="5"/>
  <c r="I5" i="4"/>
  <c r="I26" i="4"/>
  <c r="I27" i="4"/>
  <c r="I40" i="5"/>
  <c r="I38" i="5"/>
  <c r="I8" i="5"/>
  <c r="I19" i="5"/>
  <c r="I41" i="5"/>
  <c r="I18" i="5"/>
  <c r="I48" i="5"/>
  <c r="I28" i="5"/>
  <c r="I34" i="5"/>
  <c r="I47" i="5"/>
  <c r="I6" i="5"/>
  <c r="I36" i="5"/>
  <c r="I48" i="4"/>
  <c r="I29" i="4"/>
  <c r="I8" i="4"/>
  <c r="I42" i="4"/>
  <c r="I22" i="4"/>
  <c r="I2" i="4"/>
  <c r="I7" i="4"/>
  <c r="I44" i="4"/>
  <c r="I16" i="4"/>
  <c r="I51" i="4"/>
  <c r="I17" i="4"/>
  <c r="I25" i="4"/>
  <c r="I33" i="4"/>
  <c r="I43" i="5"/>
  <c r="I52" i="5"/>
  <c r="I15" i="5"/>
  <c r="I14" i="5"/>
  <c r="I33" i="5"/>
  <c r="I5" i="5"/>
  <c r="I39" i="5"/>
  <c r="I31" i="5"/>
  <c r="I50" i="5"/>
  <c r="I26" i="5"/>
  <c r="I15" i="4"/>
  <c r="I31" i="4"/>
  <c r="I10" i="4"/>
  <c r="I9" i="4"/>
  <c r="I19" i="4"/>
  <c r="I35" i="4"/>
  <c r="I28" i="4"/>
  <c r="I24" i="4"/>
  <c r="I6" i="4"/>
  <c r="I23" i="4"/>
  <c r="I43" i="4"/>
  <c r="I32" i="4"/>
  <c r="K56" i="5" l="1"/>
  <c r="L55" i="5"/>
  <c r="L54" i="4"/>
  <c r="K1" i="4"/>
  <c r="J50" i="5"/>
  <c r="J38" i="5"/>
  <c r="J47" i="5"/>
  <c r="J21" i="5"/>
  <c r="J51" i="5"/>
  <c r="J11" i="5"/>
  <c r="J44" i="5"/>
  <c r="J14" i="5"/>
  <c r="J36" i="4"/>
  <c r="J5" i="4"/>
  <c r="J29" i="4"/>
  <c r="J34" i="5"/>
  <c r="J49" i="5"/>
  <c r="J28" i="5"/>
  <c r="J46" i="5"/>
  <c r="J33" i="5"/>
  <c r="J15" i="5"/>
  <c r="J24" i="5"/>
  <c r="J23" i="5"/>
  <c r="J4" i="5"/>
  <c r="J2" i="5"/>
  <c r="J19" i="5"/>
  <c r="J7" i="5"/>
  <c r="J17" i="5"/>
  <c r="J52" i="4"/>
  <c r="J40" i="4"/>
  <c r="J27" i="4"/>
  <c r="J12" i="4"/>
  <c r="J45" i="5"/>
  <c r="J36" i="5"/>
  <c r="J8" i="5"/>
  <c r="J42" i="5"/>
  <c r="J25" i="5"/>
  <c r="J10" i="5"/>
  <c r="J37" i="5"/>
  <c r="J40" i="5"/>
  <c r="J13" i="5"/>
  <c r="J18" i="5"/>
  <c r="J9" i="5"/>
  <c r="J6" i="5"/>
  <c r="J29" i="5"/>
  <c r="J9" i="4"/>
  <c r="J3" i="4"/>
  <c r="J2" i="4"/>
  <c r="J14" i="4"/>
  <c r="J33" i="4"/>
  <c r="J31" i="4"/>
  <c r="J49" i="4"/>
  <c r="J15" i="4"/>
  <c r="J42" i="4"/>
  <c r="J6" i="4"/>
  <c r="J38" i="4"/>
  <c r="J17" i="4"/>
  <c r="J27" i="5"/>
  <c r="J16" i="4"/>
  <c r="J41" i="4"/>
  <c r="J30" i="4"/>
  <c r="J23" i="4"/>
  <c r="J25" i="4"/>
  <c r="J4" i="4"/>
  <c r="J51" i="4"/>
  <c r="J32" i="4"/>
  <c r="J8" i="4"/>
  <c r="J46" i="4"/>
  <c r="J5" i="5"/>
  <c r="J43" i="5"/>
  <c r="J16" i="5"/>
  <c r="J20" i="5"/>
  <c r="J22" i="4"/>
  <c r="J21" i="4"/>
  <c r="J35" i="4"/>
  <c r="J11" i="4"/>
  <c r="J44" i="4"/>
  <c r="J39" i="4"/>
  <c r="J45" i="4"/>
  <c r="J20" i="4"/>
  <c r="J28" i="4"/>
  <c r="J43" i="4"/>
  <c r="J13" i="4"/>
  <c r="J37" i="4"/>
  <c r="J50" i="4"/>
  <c r="J18" i="4"/>
  <c r="J39" i="5"/>
  <c r="J41" i="5"/>
  <c r="J48" i="5"/>
  <c r="J26" i="5"/>
  <c r="J12" i="5"/>
  <c r="J3" i="5"/>
  <c r="J30" i="5"/>
  <c r="J32" i="5"/>
  <c r="J35" i="5"/>
  <c r="J22" i="5"/>
  <c r="J52" i="5"/>
  <c r="J10" i="4"/>
  <c r="J34" i="4"/>
  <c r="J24" i="4"/>
  <c r="J31" i="5"/>
  <c r="J47" i="4"/>
  <c r="J48" i="4"/>
  <c r="J7" i="4"/>
  <c r="J19" i="4"/>
  <c r="J26" i="4"/>
  <c r="L56" i="5" l="1"/>
  <c r="M55" i="5"/>
  <c r="M54" i="4"/>
  <c r="L1" i="4"/>
  <c r="K49" i="5"/>
  <c r="K29" i="5"/>
  <c r="K39" i="5"/>
  <c r="K42" i="5"/>
  <c r="K14" i="5"/>
  <c r="K26" i="5"/>
  <c r="K16" i="5"/>
  <c r="K28" i="5"/>
  <c r="K5" i="5"/>
  <c r="K37" i="5"/>
  <c r="K52" i="5"/>
  <c r="K4" i="5"/>
  <c r="K23" i="4"/>
  <c r="K28" i="4"/>
  <c r="K36" i="4"/>
  <c r="K37" i="4"/>
  <c r="K46" i="4"/>
  <c r="K18" i="4"/>
  <c r="K34" i="4"/>
  <c r="K35" i="5"/>
  <c r="K45" i="5"/>
  <c r="K3" i="5"/>
  <c r="K15" i="5"/>
  <c r="K16" i="4"/>
  <c r="K35" i="4"/>
  <c r="K7" i="4"/>
  <c r="K2" i="4"/>
  <c r="K47" i="4"/>
  <c r="K33" i="5"/>
  <c r="K40" i="5"/>
  <c r="K51" i="5"/>
  <c r="K32" i="5"/>
  <c r="K9" i="5"/>
  <c r="K44" i="5"/>
  <c r="K50" i="5"/>
  <c r="K48" i="5"/>
  <c r="K7" i="5"/>
  <c r="K12" i="5"/>
  <c r="K30" i="5"/>
  <c r="K17" i="5"/>
  <c r="K13" i="5"/>
  <c r="K25" i="5"/>
  <c r="K20" i="5"/>
  <c r="K27" i="5"/>
  <c r="K2" i="5"/>
  <c r="K6" i="5"/>
  <c r="K13" i="4"/>
  <c r="K19" i="4"/>
  <c r="K11" i="4"/>
  <c r="K30" i="4"/>
  <c r="K12" i="4"/>
  <c r="K51" i="4"/>
  <c r="K6" i="4"/>
  <c r="K5" i="4"/>
  <c r="K9" i="4"/>
  <c r="K15" i="4"/>
  <c r="K50" i="4"/>
  <c r="K8" i="4"/>
  <c r="K24" i="5"/>
  <c r="K38" i="4"/>
  <c r="K42" i="4"/>
  <c r="K52" i="4"/>
  <c r="K25" i="4"/>
  <c r="K4" i="4"/>
  <c r="K44" i="4"/>
  <c r="K24" i="4"/>
  <c r="K43" i="4"/>
  <c r="K17" i="4"/>
  <c r="K29" i="4"/>
  <c r="K11" i="5"/>
  <c r="K10" i="4"/>
  <c r="K3" i="4"/>
  <c r="K41" i="4"/>
  <c r="K47" i="5"/>
  <c r="K46" i="5"/>
  <c r="K34" i="5"/>
  <c r="K27" i="4"/>
  <c r="K31" i="4"/>
  <c r="K39" i="4"/>
  <c r="K45" i="4"/>
  <c r="K20" i="4"/>
  <c r="K40" i="4"/>
  <c r="K38" i="5"/>
  <c r="K43" i="5"/>
  <c r="K36" i="5"/>
  <c r="K10" i="5"/>
  <c r="K21" i="5"/>
  <c r="K23" i="5"/>
  <c r="K19" i="5"/>
  <c r="K8" i="5"/>
  <c r="K41" i="5"/>
  <c r="K18" i="5"/>
  <c r="K31" i="5"/>
  <c r="K32" i="4"/>
  <c r="K33" i="4"/>
  <c r="K14" i="4"/>
  <c r="K49" i="4"/>
  <c r="K48" i="4"/>
  <c r="K26" i="4"/>
  <c r="K22" i="5"/>
  <c r="K22" i="4"/>
  <c r="K21" i="4"/>
  <c r="M56" i="5" l="1"/>
  <c r="N55" i="5"/>
  <c r="N54" i="4"/>
  <c r="M1" i="4"/>
  <c r="L48" i="5"/>
  <c r="L42" i="5"/>
  <c r="L24" i="5"/>
  <c r="L25" i="5"/>
  <c r="L23" i="5"/>
  <c r="L46" i="5"/>
  <c r="L6" i="5"/>
  <c r="L9" i="5"/>
  <c r="L39" i="5"/>
  <c r="L11" i="5"/>
  <c r="L17" i="5"/>
  <c r="L34" i="5"/>
  <c r="L33" i="5"/>
  <c r="L6" i="4"/>
  <c r="L25" i="4"/>
  <c r="L33" i="4"/>
  <c r="L51" i="4"/>
  <c r="L19" i="4"/>
  <c r="L39" i="4"/>
  <c r="L32" i="5"/>
  <c r="L31" i="5"/>
  <c r="L35" i="5"/>
  <c r="L28" i="5"/>
  <c r="L22" i="5"/>
  <c r="L47" i="5"/>
  <c r="L4" i="5"/>
  <c r="L2" i="5"/>
  <c r="L13" i="5"/>
  <c r="L41" i="5"/>
  <c r="L7" i="5"/>
  <c r="L3" i="5"/>
  <c r="L21" i="5"/>
  <c r="L35" i="4"/>
  <c r="L44" i="4"/>
  <c r="L21" i="4"/>
  <c r="L8" i="4"/>
  <c r="L36" i="4"/>
  <c r="L27" i="4"/>
  <c r="L52" i="4"/>
  <c r="L23" i="4"/>
  <c r="L34" i="4"/>
  <c r="L14" i="4"/>
  <c r="L13" i="4"/>
  <c r="L43" i="5"/>
  <c r="L26" i="5"/>
  <c r="L45" i="5"/>
  <c r="L51" i="5"/>
  <c r="L15" i="5"/>
  <c r="L49" i="5"/>
  <c r="L27" i="5"/>
  <c r="L52" i="5"/>
  <c r="L8" i="5"/>
  <c r="L40" i="5"/>
  <c r="L12" i="5"/>
  <c r="L29" i="5"/>
  <c r="L16" i="5"/>
  <c r="L43" i="4"/>
  <c r="L42" i="4"/>
  <c r="L49" i="4"/>
  <c r="L24" i="4"/>
  <c r="L18" i="4"/>
  <c r="L48" i="4"/>
  <c r="L28" i="4"/>
  <c r="L41" i="4"/>
  <c r="L2" i="4"/>
  <c r="L11" i="4"/>
  <c r="L29" i="4"/>
  <c r="L30" i="4"/>
  <c r="L32" i="4"/>
  <c r="L45" i="4"/>
  <c r="L22" i="4"/>
  <c r="L3" i="4"/>
  <c r="L9" i="4"/>
  <c r="L7" i="4"/>
  <c r="L38" i="4"/>
  <c r="L50" i="4"/>
  <c r="L31" i="4"/>
  <c r="L37" i="5"/>
  <c r="L44" i="5"/>
  <c r="L30" i="5"/>
  <c r="L20" i="5"/>
  <c r="L19" i="5"/>
  <c r="L18" i="5"/>
  <c r="L14" i="5"/>
  <c r="L36" i="5"/>
  <c r="L5" i="5"/>
  <c r="L50" i="5"/>
  <c r="L38" i="5"/>
  <c r="L10" i="5"/>
  <c r="L12" i="4"/>
  <c r="L16" i="4"/>
  <c r="L20" i="4"/>
  <c r="L46" i="4"/>
  <c r="L10" i="4"/>
  <c r="L37" i="4"/>
  <c r="L15" i="4"/>
  <c r="L17" i="4"/>
  <c r="L40" i="4"/>
  <c r="L4" i="4"/>
  <c r="L47" i="4"/>
  <c r="L5" i="4"/>
  <c r="L26" i="4"/>
  <c r="N56" i="5" l="1"/>
  <c r="O55" i="5"/>
  <c r="O54" i="4"/>
  <c r="N1" i="4"/>
  <c r="M31" i="5"/>
  <c r="M39" i="5"/>
  <c r="M23" i="5"/>
  <c r="M34" i="5"/>
  <c r="M28" i="5"/>
  <c r="M15" i="5"/>
  <c r="M13" i="5"/>
  <c r="M9" i="5"/>
  <c r="M32" i="5"/>
  <c r="M27" i="5"/>
  <c r="M12" i="5"/>
  <c r="M5" i="5"/>
  <c r="M51" i="5"/>
  <c r="M28" i="4"/>
  <c r="M10" i="4"/>
  <c r="M25" i="4"/>
  <c r="M20" i="4"/>
  <c r="M35" i="4"/>
  <c r="M4" i="4"/>
  <c r="M41" i="4"/>
  <c r="M9" i="4"/>
  <c r="M44" i="4"/>
  <c r="M40" i="4"/>
  <c r="M6" i="4"/>
  <c r="M30" i="4"/>
  <c r="M22" i="4"/>
  <c r="M42" i="5"/>
  <c r="M46" i="5"/>
  <c r="M29" i="5"/>
  <c r="M21" i="5"/>
  <c r="M35" i="5"/>
  <c r="M10" i="5"/>
  <c r="M14" i="5"/>
  <c r="M48" i="5"/>
  <c r="M6" i="5"/>
  <c r="M7" i="5"/>
  <c r="M25" i="5"/>
  <c r="M21" i="4"/>
  <c r="M19" i="4"/>
  <c r="M13" i="4"/>
  <c r="M38" i="4"/>
  <c r="M26" i="4"/>
  <c r="M50" i="4"/>
  <c r="M7" i="4"/>
  <c r="M12" i="4"/>
  <c r="M18" i="4"/>
  <c r="M39" i="4"/>
  <c r="M29" i="4"/>
  <c r="M45" i="4"/>
  <c r="M47" i="4"/>
  <c r="M33" i="4"/>
  <c r="M8" i="4"/>
  <c r="M50" i="5"/>
  <c r="M41" i="5"/>
  <c r="M15" i="4"/>
  <c r="M3" i="4"/>
  <c r="M49" i="4"/>
  <c r="M52" i="4"/>
  <c r="M24" i="4"/>
  <c r="M52" i="5"/>
  <c r="M40" i="5"/>
  <c r="M30" i="5"/>
  <c r="M24" i="5"/>
  <c r="M16" i="5"/>
  <c r="M38" i="5"/>
  <c r="M4" i="5"/>
  <c r="M18" i="5"/>
  <c r="M44" i="5"/>
  <c r="M17" i="5"/>
  <c r="M22" i="5"/>
  <c r="M2" i="5"/>
  <c r="M2" i="4"/>
  <c r="M23" i="4"/>
  <c r="M37" i="4"/>
  <c r="M36" i="4"/>
  <c r="M51" i="4"/>
  <c r="M16" i="4"/>
  <c r="M5" i="4"/>
  <c r="M17" i="4"/>
  <c r="M11" i="4"/>
  <c r="M14" i="4"/>
  <c r="M31" i="4"/>
  <c r="M43" i="4"/>
  <c r="M34" i="4"/>
  <c r="M47" i="5"/>
  <c r="M36" i="5"/>
  <c r="M43" i="5"/>
  <c r="M37" i="5"/>
  <c r="M33" i="5"/>
  <c r="M11" i="5"/>
  <c r="M49" i="5"/>
  <c r="M26" i="5"/>
  <c r="M45" i="5"/>
  <c r="M19" i="5"/>
  <c r="M20" i="5"/>
  <c r="M8" i="5"/>
  <c r="M3" i="5"/>
  <c r="M46" i="4"/>
  <c r="M27" i="4"/>
  <c r="M48" i="4"/>
  <c r="M42" i="4"/>
  <c r="M32" i="4"/>
  <c r="O56" i="5" l="1"/>
  <c r="P55" i="5"/>
  <c r="P54" i="4"/>
  <c r="O1" i="4"/>
  <c r="N46" i="5"/>
  <c r="N35" i="5"/>
  <c r="N24" i="5"/>
  <c r="N52" i="5"/>
  <c r="N25" i="5"/>
  <c r="N9" i="5"/>
  <c r="N39" i="5"/>
  <c r="N12" i="5"/>
  <c r="N17" i="5"/>
  <c r="N30" i="5"/>
  <c r="N34" i="5"/>
  <c r="N38" i="5"/>
  <c r="N21" i="5"/>
  <c r="N6" i="5"/>
  <c r="N5" i="5"/>
  <c r="N19" i="5"/>
  <c r="N50" i="5"/>
  <c r="N11" i="5"/>
  <c r="N13" i="5"/>
  <c r="N27" i="5"/>
  <c r="N14" i="5"/>
  <c r="N4" i="5"/>
  <c r="N6" i="4"/>
  <c r="N14" i="4"/>
  <c r="N36" i="4"/>
  <c r="N38" i="4"/>
  <c r="N22" i="4"/>
  <c r="N20" i="4"/>
  <c r="N42" i="4"/>
  <c r="N24" i="4"/>
  <c r="N8" i="4"/>
  <c r="N15" i="4"/>
  <c r="N40" i="4"/>
  <c r="N4" i="4"/>
  <c r="N30" i="4"/>
  <c r="N45" i="4"/>
  <c r="N41" i="5"/>
  <c r="N45" i="5"/>
  <c r="N26" i="5"/>
  <c r="N48" i="5"/>
  <c r="N49" i="5"/>
  <c r="N15" i="5"/>
  <c r="N31" i="5"/>
  <c r="N37" i="5"/>
  <c r="N33" i="5"/>
  <c r="N3" i="5"/>
  <c r="N44" i="5"/>
  <c r="N22" i="5"/>
  <c r="N2" i="5"/>
  <c r="N7" i="4"/>
  <c r="N39" i="4"/>
  <c r="N37" i="4"/>
  <c r="N23" i="4"/>
  <c r="N43" i="4"/>
  <c r="N25" i="4"/>
  <c r="N21" i="4"/>
  <c r="N32" i="4"/>
  <c r="N47" i="4"/>
  <c r="N34" i="4"/>
  <c r="N29" i="4"/>
  <c r="N51" i="5"/>
  <c r="N29" i="5"/>
  <c r="N40" i="5"/>
  <c r="N20" i="5"/>
  <c r="N28" i="5"/>
  <c r="N10" i="5"/>
  <c r="N43" i="5"/>
  <c r="N23" i="5"/>
  <c r="N32" i="5"/>
  <c r="N47" i="5"/>
  <c r="N18" i="5"/>
  <c r="N16" i="5"/>
  <c r="N9" i="4"/>
  <c r="N50" i="4"/>
  <c r="N5" i="4"/>
  <c r="N18" i="4"/>
  <c r="N48" i="4"/>
  <c r="N28" i="4"/>
  <c r="N49" i="4"/>
  <c r="N26" i="4"/>
  <c r="N3" i="4"/>
  <c r="N12" i="4"/>
  <c r="N16" i="4"/>
  <c r="N2" i="4"/>
  <c r="N44" i="4"/>
  <c r="N8" i="5"/>
  <c r="N7" i="5"/>
  <c r="N36" i="5"/>
  <c r="N42" i="5"/>
  <c r="N10" i="4"/>
  <c r="N11" i="4"/>
  <c r="N31" i="4"/>
  <c r="N17" i="4"/>
  <c r="N19" i="4"/>
  <c r="N41" i="4"/>
  <c r="N35" i="4"/>
  <c r="N33" i="4"/>
  <c r="N52" i="4"/>
  <c r="N13" i="4"/>
  <c r="N27" i="4"/>
  <c r="N51" i="4"/>
  <c r="N46" i="4"/>
  <c r="P56" i="5" l="1"/>
  <c r="Q55" i="5"/>
  <c r="Q54" i="4"/>
  <c r="P1" i="4"/>
  <c r="O45" i="5"/>
  <c r="O49" i="5"/>
  <c r="O34" i="5"/>
  <c r="O41" i="5"/>
  <c r="O27" i="5"/>
  <c r="O30" i="5"/>
  <c r="O37" i="5"/>
  <c r="O26" i="5"/>
  <c r="O43" i="5"/>
  <c r="O48" i="5"/>
  <c r="O6" i="5"/>
  <c r="O39" i="5"/>
  <c r="O2" i="5"/>
  <c r="O47" i="4"/>
  <c r="O16" i="4"/>
  <c r="O32" i="4"/>
  <c r="O41" i="4"/>
  <c r="O36" i="4"/>
  <c r="O50" i="4"/>
  <c r="O42" i="4"/>
  <c r="O20" i="4"/>
  <c r="O3" i="4"/>
  <c r="O29" i="4"/>
  <c r="O18" i="4"/>
  <c r="O29" i="5"/>
  <c r="O25" i="5"/>
  <c r="O21" i="5"/>
  <c r="O33" i="5"/>
  <c r="O19" i="5"/>
  <c r="O10" i="5"/>
  <c r="O42" i="5"/>
  <c r="O15" i="5"/>
  <c r="O20" i="5"/>
  <c r="O44" i="5"/>
  <c r="O7" i="5"/>
  <c r="O28" i="5"/>
  <c r="O9" i="5"/>
  <c r="O23" i="4"/>
  <c r="O33" i="4"/>
  <c r="O52" i="4"/>
  <c r="O2" i="4"/>
  <c r="O35" i="4"/>
  <c r="O30" i="4"/>
  <c r="O40" i="5"/>
  <c r="O36" i="5"/>
  <c r="O35" i="5"/>
  <c r="O23" i="5"/>
  <c r="O24" i="5"/>
  <c r="O5" i="5"/>
  <c r="O13" i="5"/>
  <c r="O12" i="5"/>
  <c r="O18" i="5"/>
  <c r="O17" i="5"/>
  <c r="O38" i="5"/>
  <c r="O51" i="5"/>
  <c r="O14" i="5"/>
  <c r="O9" i="4"/>
  <c r="O37" i="4"/>
  <c r="O50" i="5"/>
  <c r="O46" i="5"/>
  <c r="O47" i="5"/>
  <c r="O32" i="5"/>
  <c r="O4" i="5"/>
  <c r="O8" i="5"/>
  <c r="O31" i="5"/>
  <c r="O3" i="5"/>
  <c r="O52" i="5"/>
  <c r="O16" i="5"/>
  <c r="O22" i="5"/>
  <c r="O11" i="5"/>
  <c r="O7" i="4"/>
  <c r="O8" i="4"/>
  <c r="O17" i="4"/>
  <c r="O22" i="4"/>
  <c r="O24" i="4"/>
  <c r="O11" i="4"/>
  <c r="O28" i="4"/>
  <c r="O46" i="4"/>
  <c r="O5" i="4"/>
  <c r="O4" i="4"/>
  <c r="O14" i="4"/>
  <c r="O6" i="4"/>
  <c r="O10" i="4"/>
  <c r="O15" i="4"/>
  <c r="O39" i="4"/>
  <c r="O25" i="4"/>
  <c r="O45" i="4"/>
  <c r="O19" i="4"/>
  <c r="O26" i="4"/>
  <c r="O44" i="4"/>
  <c r="O13" i="4"/>
  <c r="O49" i="4"/>
  <c r="O12" i="4"/>
  <c r="O40" i="4"/>
  <c r="O34" i="4"/>
  <c r="O27" i="4"/>
  <c r="O21" i="4"/>
  <c r="O51" i="4"/>
  <c r="O31" i="4"/>
  <c r="O43" i="4"/>
  <c r="O48" i="4"/>
  <c r="O38" i="4"/>
  <c r="Q56" i="5" l="1"/>
  <c r="R55" i="5"/>
  <c r="R54" i="4"/>
  <c r="Q1" i="4"/>
  <c r="P13" i="5"/>
  <c r="P11" i="4"/>
  <c r="P10" i="4"/>
  <c r="P8" i="4"/>
  <c r="P17" i="4"/>
  <c r="P46" i="4"/>
  <c r="P19" i="4"/>
  <c r="P25" i="4"/>
  <c r="P27" i="5"/>
  <c r="P34" i="5"/>
  <c r="P8" i="5"/>
  <c r="P22" i="5"/>
  <c r="P40" i="4"/>
  <c r="P34" i="4"/>
  <c r="P33" i="4"/>
  <c r="P22" i="4"/>
  <c r="P24" i="4"/>
  <c r="P5" i="4"/>
  <c r="P4" i="4"/>
  <c r="P12" i="4"/>
  <c r="P39" i="5"/>
  <c r="P40" i="5"/>
  <c r="P50" i="5"/>
  <c r="P36" i="5"/>
  <c r="P29" i="5"/>
  <c r="P15" i="5"/>
  <c r="P2" i="5"/>
  <c r="P21" i="5"/>
  <c r="P35" i="5"/>
  <c r="P7" i="5"/>
  <c r="P19" i="5"/>
  <c r="P30" i="5"/>
  <c r="P12" i="5"/>
  <c r="P36" i="4"/>
  <c r="P29" i="4"/>
  <c r="P23" i="4"/>
  <c r="P49" i="5"/>
  <c r="P51" i="5"/>
  <c r="P31" i="5"/>
  <c r="P45" i="5"/>
  <c r="P16" i="5"/>
  <c r="P4" i="5"/>
  <c r="P5" i="5"/>
  <c r="P10" i="5"/>
  <c r="P37" i="5"/>
  <c r="P43" i="5"/>
  <c r="P23" i="5"/>
  <c r="P17" i="5"/>
  <c r="P52" i="4"/>
  <c r="P7" i="4"/>
  <c r="P2" i="4"/>
  <c r="P30" i="4"/>
  <c r="P44" i="4"/>
  <c r="P35" i="4"/>
  <c r="P20" i="4"/>
  <c r="P14" i="4"/>
  <c r="P42" i="4"/>
  <c r="P21" i="4"/>
  <c r="P32" i="4"/>
  <c r="P13" i="4"/>
  <c r="P6" i="4"/>
  <c r="P44" i="5"/>
  <c r="P38" i="5"/>
  <c r="P41" i="5"/>
  <c r="P26" i="5"/>
  <c r="P18" i="5"/>
  <c r="P11" i="5"/>
  <c r="P3" i="5"/>
  <c r="P52" i="5"/>
  <c r="P46" i="5"/>
  <c r="P25" i="5"/>
  <c r="P47" i="5"/>
  <c r="P24" i="5"/>
  <c r="P28" i="4"/>
  <c r="P26" i="4"/>
  <c r="P3" i="4"/>
  <c r="P48" i="4"/>
  <c r="P38" i="4"/>
  <c r="P41" i="4"/>
  <c r="P28" i="5"/>
  <c r="P20" i="5"/>
  <c r="P48" i="5"/>
  <c r="P6" i="5"/>
  <c r="P14" i="5"/>
  <c r="P32" i="5"/>
  <c r="P42" i="5"/>
  <c r="P33" i="5"/>
  <c r="P9" i="5"/>
  <c r="P18" i="4"/>
  <c r="P45" i="4"/>
  <c r="P37" i="4"/>
  <c r="P39" i="4"/>
  <c r="P31" i="4"/>
  <c r="P47" i="4"/>
  <c r="P9" i="4"/>
  <c r="P51" i="4"/>
  <c r="P16" i="4"/>
  <c r="P15" i="4"/>
  <c r="P43" i="4"/>
  <c r="P49" i="4"/>
  <c r="P50" i="4"/>
  <c r="P27" i="4"/>
  <c r="R56" i="5" l="1"/>
  <c r="S55" i="5"/>
  <c r="S54" i="4"/>
  <c r="R1" i="4"/>
  <c r="Q43" i="5"/>
  <c r="Q32" i="5"/>
  <c r="Q37" i="5"/>
  <c r="Q24" i="5"/>
  <c r="Q12" i="5"/>
  <c r="Q52" i="5"/>
  <c r="Q13" i="5"/>
  <c r="Q18" i="4"/>
  <c r="Q5" i="4"/>
  <c r="Q37" i="4"/>
  <c r="Q50" i="4"/>
  <c r="Q27" i="5"/>
  <c r="Q35" i="5"/>
  <c r="Q19" i="5"/>
  <c r="Q22" i="5"/>
  <c r="Q17" i="5"/>
  <c r="Q7" i="5"/>
  <c r="Q42" i="5"/>
  <c r="Q8" i="5"/>
  <c r="Q2" i="5"/>
  <c r="Q23" i="5"/>
  <c r="Q28" i="5"/>
  <c r="Q4" i="5"/>
  <c r="Q14" i="5"/>
  <c r="Q32" i="4"/>
  <c r="Q19" i="4"/>
  <c r="Q4" i="4"/>
  <c r="Q7" i="4"/>
  <c r="Q10" i="4"/>
  <c r="Q35" i="4"/>
  <c r="Q38" i="5"/>
  <c r="Q46" i="5"/>
  <c r="Q51" i="5"/>
  <c r="Q34" i="5"/>
  <c r="Q5" i="5"/>
  <c r="Q3" i="5"/>
  <c r="Q44" i="5"/>
  <c r="Q18" i="5"/>
  <c r="Q47" i="5"/>
  <c r="Q26" i="5"/>
  <c r="Q41" i="5"/>
  <c r="Q45" i="5"/>
  <c r="Q10" i="5"/>
  <c r="Q29" i="4"/>
  <c r="Q42" i="4"/>
  <c r="Q20" i="4"/>
  <c r="Q33" i="4"/>
  <c r="Q23" i="4"/>
  <c r="Q8" i="4"/>
  <c r="Q21" i="4"/>
  <c r="Q11" i="4"/>
  <c r="Q52" i="4"/>
  <c r="Q9" i="4"/>
  <c r="Q15" i="4"/>
  <c r="Q16" i="4"/>
  <c r="Q21" i="5"/>
  <c r="Q2" i="4"/>
  <c r="Q44" i="4"/>
  <c r="Q40" i="4"/>
  <c r="Q36" i="4"/>
  <c r="Q41" i="4"/>
  <c r="Q34" i="4"/>
  <c r="Q27" i="4"/>
  <c r="Q12" i="4"/>
  <c r="Q25" i="4"/>
  <c r="Q51" i="4"/>
  <c r="Q40" i="5"/>
  <c r="Q39" i="5"/>
  <c r="Q11" i="5"/>
  <c r="Q6" i="5"/>
  <c r="Q15" i="5"/>
  <c r="Q3" i="4"/>
  <c r="Q26" i="4"/>
  <c r="Q39" i="4"/>
  <c r="Q6" i="4"/>
  <c r="Q43" i="4"/>
  <c r="Q14" i="4"/>
  <c r="Q45" i="4"/>
  <c r="Q48" i="4"/>
  <c r="Q13" i="4"/>
  <c r="Q17" i="4"/>
  <c r="Q47" i="4"/>
  <c r="Q22" i="4"/>
  <c r="Q48" i="5"/>
  <c r="Q36" i="5"/>
  <c r="Q31" i="5"/>
  <c r="Q29" i="5"/>
  <c r="Q20" i="5"/>
  <c r="Q16" i="5"/>
  <c r="Q30" i="5"/>
  <c r="Q33" i="5"/>
  <c r="Q50" i="5"/>
  <c r="Q25" i="5"/>
  <c r="Q49" i="5"/>
  <c r="Q30" i="4"/>
  <c r="Q24" i="4"/>
  <c r="Q31" i="4"/>
  <c r="Q9" i="5"/>
  <c r="Q38" i="4"/>
  <c r="Q46" i="4"/>
  <c r="Q28" i="4"/>
  <c r="Q49" i="4"/>
  <c r="S56" i="5" l="1"/>
  <c r="T55" i="5"/>
  <c r="T56" i="5" s="1"/>
  <c r="S1" i="4"/>
  <c r="T54" i="4"/>
  <c r="T1" i="4" s="1"/>
  <c r="R42" i="5"/>
  <c r="R4" i="5"/>
  <c r="R20" i="5"/>
  <c r="R7" i="5"/>
  <c r="R30" i="4"/>
  <c r="R51" i="4"/>
  <c r="R8" i="4"/>
  <c r="R35" i="4"/>
  <c r="R23" i="4"/>
  <c r="R12" i="4"/>
  <c r="R27" i="4"/>
  <c r="R46" i="4"/>
  <c r="R44" i="4"/>
  <c r="R2" i="4"/>
  <c r="R11" i="4"/>
  <c r="R43" i="4"/>
  <c r="R26" i="5"/>
  <c r="R50" i="5"/>
  <c r="R52" i="5"/>
  <c r="R35" i="5"/>
  <c r="R17" i="5"/>
  <c r="R48" i="5"/>
  <c r="R40" i="5"/>
  <c r="R13" i="5"/>
  <c r="R11" i="5"/>
  <c r="R39" i="5"/>
  <c r="R44" i="5"/>
  <c r="R19" i="5"/>
  <c r="R12" i="5"/>
  <c r="T2" i="4"/>
  <c r="R37" i="5"/>
  <c r="R30" i="5"/>
  <c r="R46" i="5"/>
  <c r="R25" i="5"/>
  <c r="R2" i="5"/>
  <c r="R33" i="5"/>
  <c r="R14" i="5"/>
  <c r="R32" i="5"/>
  <c r="R6" i="5"/>
  <c r="R21" i="5"/>
  <c r="R8" i="5"/>
  <c r="R45" i="5"/>
  <c r="R3" i="5"/>
  <c r="R20" i="4"/>
  <c r="R10" i="4"/>
  <c r="R42" i="4"/>
  <c r="R5" i="4"/>
  <c r="R19" i="4"/>
  <c r="R38" i="4"/>
  <c r="R22" i="4"/>
  <c r="R6" i="4"/>
  <c r="R40" i="4"/>
  <c r="R52" i="4"/>
  <c r="R50" i="4"/>
  <c r="R21" i="4"/>
  <c r="R7" i="4"/>
  <c r="R25" i="4"/>
  <c r="R28" i="4"/>
  <c r="R17" i="4"/>
  <c r="R13" i="4"/>
  <c r="R4" i="4"/>
  <c r="R39" i="4"/>
  <c r="R26" i="4"/>
  <c r="R31" i="4"/>
  <c r="R29" i="4"/>
  <c r="R32" i="4"/>
  <c r="R22" i="5"/>
  <c r="R51" i="5"/>
  <c r="R43" i="5"/>
  <c r="R23" i="5"/>
  <c r="R18" i="5"/>
  <c r="R34" i="5"/>
  <c r="R10" i="5"/>
  <c r="R36" i="4"/>
  <c r="R37" i="4"/>
  <c r="R49" i="4"/>
  <c r="R33" i="4"/>
  <c r="R9" i="4"/>
  <c r="R47" i="4"/>
  <c r="R48" i="4"/>
  <c r="R16" i="4"/>
  <c r="R15" i="4"/>
  <c r="R47" i="5"/>
  <c r="R41" i="5"/>
  <c r="R49" i="5"/>
  <c r="R16" i="5"/>
  <c r="R5" i="5"/>
  <c r="R28" i="5"/>
  <c r="R9" i="5"/>
  <c r="R15" i="5"/>
  <c r="R38" i="5"/>
  <c r="R24" i="5"/>
  <c r="R27" i="5"/>
  <c r="R31" i="5"/>
  <c r="R24" i="4"/>
  <c r="R18" i="4"/>
  <c r="R45" i="4"/>
  <c r="R36" i="5"/>
  <c r="R29" i="5"/>
  <c r="R14" i="4"/>
  <c r="R41" i="4"/>
  <c r="R3" i="4"/>
  <c r="R34" i="4"/>
  <c r="T40" i="5" l="1"/>
  <c r="T45" i="5"/>
  <c r="T37" i="5"/>
  <c r="T34" i="5"/>
  <c r="T12" i="5"/>
  <c r="T11" i="5"/>
  <c r="T32" i="5"/>
  <c r="T26" i="5"/>
  <c r="T3" i="5"/>
  <c r="T6" i="5"/>
  <c r="T49" i="5"/>
  <c r="T15" i="5"/>
  <c r="T19" i="5"/>
  <c r="S25" i="5"/>
  <c r="S21" i="5"/>
  <c r="S44" i="5"/>
  <c r="S15" i="5"/>
  <c r="S23" i="5"/>
  <c r="S5" i="5"/>
  <c r="S48" i="5"/>
  <c r="S31" i="5"/>
  <c r="S30" i="5"/>
  <c r="S37" i="5"/>
  <c r="S18" i="5"/>
  <c r="S33" i="5"/>
  <c r="S12" i="5"/>
  <c r="S5" i="4"/>
  <c r="T26" i="4"/>
  <c r="T52" i="4"/>
  <c r="S10" i="4"/>
  <c r="T14" i="4"/>
  <c r="S15" i="4"/>
  <c r="T42" i="4"/>
  <c r="S34" i="4"/>
  <c r="S38" i="4"/>
  <c r="T32" i="4"/>
  <c r="S26" i="4"/>
  <c r="T48" i="4"/>
  <c r="S3" i="4"/>
  <c r="S36" i="4"/>
  <c r="T9" i="5"/>
  <c r="T20" i="5"/>
  <c r="S45" i="5"/>
  <c r="S19" i="5"/>
  <c r="S2" i="5"/>
  <c r="S14" i="5"/>
  <c r="S22" i="5"/>
  <c r="T16" i="4"/>
  <c r="T19" i="4"/>
  <c r="T4" i="4"/>
  <c r="S47" i="4"/>
  <c r="T6" i="4"/>
  <c r="S4" i="4"/>
  <c r="T7" i="4"/>
  <c r="T49" i="4"/>
  <c r="S14" i="4"/>
  <c r="T13" i="4"/>
  <c r="T30" i="4"/>
  <c r="T24" i="5"/>
  <c r="T23" i="5"/>
  <c r="T46" i="5"/>
  <c r="T42" i="5"/>
  <c r="T7" i="5"/>
  <c r="T5" i="5"/>
  <c r="T28" i="5"/>
  <c r="T50" i="5"/>
  <c r="T44" i="5"/>
  <c r="S52" i="5"/>
  <c r="S3" i="5"/>
  <c r="S51" i="5"/>
  <c r="S8" i="5"/>
  <c r="S6" i="4"/>
  <c r="T20" i="4"/>
  <c r="T46" i="4"/>
  <c r="S42" i="4"/>
  <c r="T31" i="4"/>
  <c r="T10" i="4"/>
  <c r="S9" i="4"/>
  <c r="T28" i="4"/>
  <c r="S31" i="4"/>
  <c r="T12" i="4"/>
  <c r="T51" i="5"/>
  <c r="T36" i="5"/>
  <c r="T27" i="5"/>
  <c r="T14" i="5"/>
  <c r="T2" i="5"/>
  <c r="T52" i="5"/>
  <c r="T29" i="5"/>
  <c r="T30" i="5"/>
  <c r="T43" i="5"/>
  <c r="T21" i="5"/>
  <c r="T18" i="5"/>
  <c r="T33" i="5"/>
  <c r="T38" i="5"/>
  <c r="S36" i="5"/>
  <c r="S42" i="5"/>
  <c r="S38" i="5"/>
  <c r="S6" i="5"/>
  <c r="S26" i="5"/>
  <c r="S49" i="5"/>
  <c r="S35" i="5"/>
  <c r="S16" i="5"/>
  <c r="S28" i="5"/>
  <c r="S9" i="5"/>
  <c r="S39" i="5"/>
  <c r="S7" i="5"/>
  <c r="T43" i="4"/>
  <c r="S45" i="4"/>
  <c r="T44" i="4"/>
  <c r="S39" i="4"/>
  <c r="S13" i="4"/>
  <c r="T41" i="4"/>
  <c r="S43" i="4"/>
  <c r="S23" i="4"/>
  <c r="T27" i="4"/>
  <c r="T3" i="4"/>
  <c r="T5" i="4"/>
  <c r="S16" i="4"/>
  <c r="S48" i="4"/>
  <c r="S25" i="4"/>
  <c r="T22" i="4"/>
  <c r="T47" i="4"/>
  <c r="S49" i="4"/>
  <c r="S19" i="4"/>
  <c r="T35" i="5"/>
  <c r="T47" i="5"/>
  <c r="T39" i="5"/>
  <c r="T17" i="5"/>
  <c r="T16" i="5"/>
  <c r="T48" i="5"/>
  <c r="T31" i="5"/>
  <c r="T13" i="5"/>
  <c r="T41" i="5"/>
  <c r="T4" i="5"/>
  <c r="T25" i="5"/>
  <c r="T22" i="5"/>
  <c r="S41" i="5"/>
  <c r="S46" i="5"/>
  <c r="S43" i="5"/>
  <c r="S47" i="5"/>
  <c r="S40" i="5"/>
  <c r="S20" i="5"/>
  <c r="S29" i="5"/>
  <c r="S34" i="5"/>
  <c r="S4" i="5"/>
  <c r="S10" i="5"/>
  <c r="S27" i="5"/>
  <c r="S17" i="5"/>
  <c r="S13" i="5"/>
  <c r="S37" i="4"/>
  <c r="S40" i="4"/>
  <c r="T15" i="4"/>
  <c r="S24" i="4"/>
  <c r="S18" i="4"/>
  <c r="T35" i="4"/>
  <c r="S28" i="4"/>
  <c r="S29" i="4"/>
  <c r="T38" i="4"/>
  <c r="T25" i="4"/>
  <c r="T51" i="4"/>
  <c r="S32" i="4"/>
  <c r="S22" i="4"/>
  <c r="S51" i="4"/>
  <c r="T11" i="4"/>
  <c r="T8" i="4"/>
  <c r="T24" i="4"/>
  <c r="S50" i="4"/>
  <c r="S7" i="4"/>
  <c r="T40" i="4"/>
  <c r="T34" i="4"/>
  <c r="S33" i="4"/>
  <c r="T37" i="4"/>
  <c r="T50" i="4"/>
  <c r="S41" i="4"/>
  <c r="T9" i="4"/>
  <c r="T18" i="4"/>
  <c r="T17" i="4"/>
  <c r="S46" i="4"/>
  <c r="S30" i="4"/>
  <c r="T29" i="4"/>
  <c r="T21" i="4"/>
  <c r="S2" i="4"/>
  <c r="S8" i="4"/>
  <c r="T45" i="4"/>
  <c r="S35" i="4"/>
  <c r="T10" i="5"/>
  <c r="T8" i="5"/>
  <c r="S50" i="5"/>
  <c r="S11" i="5"/>
  <c r="S24" i="5"/>
  <c r="S32" i="5"/>
  <c r="T36" i="4"/>
  <c r="S11" i="4"/>
  <c r="S17" i="4"/>
  <c r="T23" i="4"/>
  <c r="S21" i="4"/>
  <c r="T39" i="4"/>
  <c r="S27" i="4"/>
  <c r="S52" i="4"/>
  <c r="S12" i="4"/>
  <c r="S20" i="4"/>
  <c r="T33" i="4"/>
  <c r="S44" i="4"/>
  <c r="U44" i="4" l="1"/>
  <c r="U20" i="4"/>
  <c r="U12" i="4"/>
  <c r="U52" i="4"/>
  <c r="U27" i="4"/>
  <c r="U21" i="4"/>
  <c r="U17" i="4"/>
  <c r="U11" i="4"/>
  <c r="U32" i="5"/>
  <c r="U24" i="5"/>
  <c r="U11" i="5"/>
  <c r="U50" i="5"/>
  <c r="U35" i="4"/>
  <c r="U8" i="4"/>
  <c r="U2" i="4"/>
  <c r="U30" i="4"/>
  <c r="U46" i="4"/>
  <c r="U41" i="4"/>
  <c r="U33" i="4"/>
  <c r="U7" i="4"/>
  <c r="U50" i="4"/>
  <c r="U51" i="4"/>
  <c r="U22" i="4"/>
  <c r="U32" i="4"/>
  <c r="U29" i="4"/>
  <c r="U28" i="4"/>
  <c r="U18" i="4"/>
  <c r="U24" i="4"/>
  <c r="U40" i="4"/>
  <c r="U37" i="4"/>
  <c r="U13" i="5"/>
  <c r="U17" i="5"/>
  <c r="U27" i="5"/>
  <c r="U10" i="5"/>
  <c r="U4" i="5"/>
  <c r="U34" i="5"/>
  <c r="U29" i="5"/>
  <c r="U20" i="5"/>
  <c r="U40" i="5"/>
  <c r="U47" i="5"/>
  <c r="U43" i="5"/>
  <c r="U46" i="5"/>
  <c r="U41" i="5"/>
  <c r="U19" i="4"/>
  <c r="U49" i="4"/>
  <c r="U25" i="4"/>
  <c r="U48" i="4"/>
  <c r="U16" i="4"/>
  <c r="U23" i="4"/>
  <c r="U43" i="4"/>
  <c r="U13" i="4"/>
  <c r="U39" i="4"/>
  <c r="U45" i="4"/>
  <c r="U7" i="5"/>
  <c r="U39" i="5"/>
  <c r="U9" i="5"/>
  <c r="U28" i="5"/>
  <c r="U16" i="5"/>
  <c r="U35" i="5"/>
  <c r="U49" i="5"/>
  <c r="U26" i="5"/>
  <c r="U6" i="5"/>
  <c r="U38" i="5"/>
  <c r="U42" i="5"/>
  <c r="U36" i="5"/>
  <c r="U31" i="4"/>
  <c r="U9" i="4"/>
  <c r="U42" i="4"/>
  <c r="U6" i="4"/>
  <c r="U8" i="5"/>
  <c r="U51" i="5"/>
  <c r="U3" i="5"/>
  <c r="U52" i="5"/>
  <c r="U14" i="4"/>
  <c r="U4" i="4"/>
  <c r="U47" i="4"/>
  <c r="U22" i="5"/>
  <c r="U14" i="5"/>
  <c r="U2" i="5"/>
  <c r="U19" i="5"/>
  <c r="U45" i="5"/>
  <c r="U36" i="4"/>
  <c r="U3" i="4"/>
  <c r="U26" i="4"/>
  <c r="U38" i="4"/>
  <c r="U34" i="4"/>
  <c r="U15" i="4"/>
  <c r="U10" i="4"/>
  <c r="U5" i="4"/>
  <c r="U12" i="5"/>
  <c r="U33" i="5"/>
  <c r="U18" i="5"/>
  <c r="U37" i="5"/>
  <c r="U30" i="5"/>
  <c r="U31" i="5"/>
  <c r="U48" i="5"/>
  <c r="U5" i="5"/>
  <c r="U23" i="5"/>
  <c r="U15" i="5"/>
  <c r="U44" i="5"/>
  <c r="U21" i="5"/>
  <c r="U25" i="5"/>
</calcChain>
</file>

<file path=xl/sharedStrings.xml><?xml version="1.0" encoding="utf-8"?>
<sst xmlns="http://schemas.openxmlformats.org/spreadsheetml/2006/main" count="705" uniqueCount="440">
  <si>
    <t>RegionID</t>
  </si>
  <si>
    <t>RegionName</t>
  </si>
  <si>
    <t>SizeRank</t>
  </si>
  <si>
    <t>2000-01</t>
  </si>
  <si>
    <t>2000-02</t>
  </si>
  <si>
    <t>2000-03</t>
  </si>
  <si>
    <t>2000-04</t>
  </si>
  <si>
    <t>2000-05</t>
  </si>
  <si>
    <t>2000-06</t>
  </si>
  <si>
    <t>2000-07</t>
  </si>
  <si>
    <t>2000-08</t>
  </si>
  <si>
    <t>2000-09</t>
  </si>
  <si>
    <t>2000-10</t>
  </si>
  <si>
    <t>2000-11</t>
  </si>
  <si>
    <t>2000-12</t>
  </si>
  <si>
    <t>2001-01</t>
  </si>
  <si>
    <t>2001-02</t>
  </si>
  <si>
    <t>2001-03</t>
  </si>
  <si>
    <t>2001-04</t>
  </si>
  <si>
    <t>2001-05</t>
  </si>
  <si>
    <t>2001-06</t>
  </si>
  <si>
    <t>2001-07</t>
  </si>
  <si>
    <t>2001-08</t>
  </si>
  <si>
    <t>2001-09</t>
  </si>
  <si>
    <t>2001-10</t>
  </si>
  <si>
    <t>2001-11</t>
  </si>
  <si>
    <t>2001-12</t>
  </si>
  <si>
    <t>2002-01</t>
  </si>
  <si>
    <t>2002-02</t>
  </si>
  <si>
    <t>2002-03</t>
  </si>
  <si>
    <t>2002-04</t>
  </si>
  <si>
    <t>2002-05</t>
  </si>
  <si>
    <t>2002-06</t>
  </si>
  <si>
    <t>2002-07</t>
  </si>
  <si>
    <t>2002-08</t>
  </si>
  <si>
    <t>2002-09</t>
  </si>
  <si>
    <t>2002-10</t>
  </si>
  <si>
    <t>2002-11</t>
  </si>
  <si>
    <t>2002-12</t>
  </si>
  <si>
    <t>2003-01</t>
  </si>
  <si>
    <t>2003-02</t>
  </si>
  <si>
    <t>2003-03</t>
  </si>
  <si>
    <t>2003-04</t>
  </si>
  <si>
    <t>2003-05</t>
  </si>
  <si>
    <t>2003-06</t>
  </si>
  <si>
    <t>2003-07</t>
  </si>
  <si>
    <t>2003-08</t>
  </si>
  <si>
    <t>2003-09</t>
  </si>
  <si>
    <t>2003-10</t>
  </si>
  <si>
    <t>2003-11</t>
  </si>
  <si>
    <t>2003-12</t>
  </si>
  <si>
    <t>2004-01</t>
  </si>
  <si>
    <t>2004-02</t>
  </si>
  <si>
    <t>2004-03</t>
  </si>
  <si>
    <t>2004-04</t>
  </si>
  <si>
    <t>2004-05</t>
  </si>
  <si>
    <t>2004-06</t>
  </si>
  <si>
    <t>2004-07</t>
  </si>
  <si>
    <t>2004-08</t>
  </si>
  <si>
    <t>2004-09</t>
  </si>
  <si>
    <t>2004-10</t>
  </si>
  <si>
    <t>2004-11</t>
  </si>
  <si>
    <t>2004-12</t>
  </si>
  <si>
    <t>2005-01</t>
  </si>
  <si>
    <t>2005-02</t>
  </si>
  <si>
    <t>2005-03</t>
  </si>
  <si>
    <t>2005-04</t>
  </si>
  <si>
    <t>2005-05</t>
  </si>
  <si>
    <t>2005-06</t>
  </si>
  <si>
    <t>2005-07</t>
  </si>
  <si>
    <t>2005-08</t>
  </si>
  <si>
    <t>2005-09</t>
  </si>
  <si>
    <t>2005-10</t>
  </si>
  <si>
    <t>2005-11</t>
  </si>
  <si>
    <t>2005-12</t>
  </si>
  <si>
    <t>2006-01</t>
  </si>
  <si>
    <t>2006-02</t>
  </si>
  <si>
    <t>2006-03</t>
  </si>
  <si>
    <t>2006-04</t>
  </si>
  <si>
    <t>2006-05</t>
  </si>
  <si>
    <t>2006-06</t>
  </si>
  <si>
    <t>2006-07</t>
  </si>
  <si>
    <t>2006-08</t>
  </si>
  <si>
    <t>2006-09</t>
  </si>
  <si>
    <t>2006-10</t>
  </si>
  <si>
    <t>2006-11</t>
  </si>
  <si>
    <t>2006-12</t>
  </si>
  <si>
    <t>2007-01</t>
  </si>
  <si>
    <t>2007-02</t>
  </si>
  <si>
    <t>2007-03</t>
  </si>
  <si>
    <t>2007-04</t>
  </si>
  <si>
    <t>2007-05</t>
  </si>
  <si>
    <t>2007-06</t>
  </si>
  <si>
    <t>2007-07</t>
  </si>
  <si>
    <t>2007-08</t>
  </si>
  <si>
    <t>2007-09</t>
  </si>
  <si>
    <t>2007-10</t>
  </si>
  <si>
    <t>2007-11</t>
  </si>
  <si>
    <t>2007-12</t>
  </si>
  <si>
    <t>2008-01</t>
  </si>
  <si>
    <t>2008-02</t>
  </si>
  <si>
    <t>2008-03</t>
  </si>
  <si>
    <t>2008-04</t>
  </si>
  <si>
    <t>2008-05</t>
  </si>
  <si>
    <t>2008-06</t>
  </si>
  <si>
    <t>2008-07</t>
  </si>
  <si>
    <t>2008-08</t>
  </si>
  <si>
    <t>2008-09</t>
  </si>
  <si>
    <t>2008-10</t>
  </si>
  <si>
    <t>2008-11</t>
  </si>
  <si>
    <t>2008-12</t>
  </si>
  <si>
    <t>2009-01</t>
  </si>
  <si>
    <t>2009-02</t>
  </si>
  <si>
    <t>2009-03</t>
  </si>
  <si>
    <t>2009-04</t>
  </si>
  <si>
    <t>2009-05</t>
  </si>
  <si>
    <t>2009-06</t>
  </si>
  <si>
    <t>2009-07</t>
  </si>
  <si>
    <t>2009-08</t>
  </si>
  <si>
    <t>2009-09</t>
  </si>
  <si>
    <t>2009-10</t>
  </si>
  <si>
    <t>2009-11</t>
  </si>
  <si>
    <t>2009-12</t>
  </si>
  <si>
    <t>2010-01</t>
  </si>
  <si>
    <t>2010-02</t>
  </si>
  <si>
    <t>2010-03</t>
  </si>
  <si>
    <t>2010-04</t>
  </si>
  <si>
    <t>2010-05</t>
  </si>
  <si>
    <t>2010-06</t>
  </si>
  <si>
    <t>2010-07</t>
  </si>
  <si>
    <t>2010-08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</si>
  <si>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</si>
  <si>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</si>
  <si>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</si>
  <si>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</si>
  <si>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</si>
  <si>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</si>
  <si>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</si>
  <si>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</si>
  <si>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</si>
  <si>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</si>
  <si>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</si>
  <si>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</si>
  <si>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</si>
  <si>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</si>
  <si>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</si>
  <si>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</si>
  <si>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</si>
  <si>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</si>
  <si>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</si>
  <si>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</si>
  <si>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</si>
  <si>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</si>
  <si>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</si>
  <si>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</si>
  <si>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</si>
  <si>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</si>
  <si>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</si>
  <si>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</si>
  <si>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</si>
  <si>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</si>
  <si>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2013-03</t>
  </si>
  <si>
    <t>2013-04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</si>
  <si>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</si>
  <si>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</si>
  <si>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</si>
  <si>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</si>
  <si>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</si>
  <si>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</si>
  <si>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</si>
  <si>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</si>
  <si>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</si>
  <si>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</si>
  <si>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</si>
  <si>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</si>
  <si>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</si>
  <si>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</si>
  <si>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</si>
  <si>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</si>
  <si>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</si>
  <si>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</si>
  <si>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</si>
  <si>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</si>
  <si>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</si>
  <si>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</si>
  <si>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</si>
  <si>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</si>
  <si>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</si>
  <si>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</si>
  <si>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</si>
  <si>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</si>
  <si>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</si>
  <si>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</si>
  <si>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</si>
  <si>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</si>
  <si>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</si>
  <si>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</si>
  <si>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</si>
  <si>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</si>
  <si>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</si>
  <si>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</si>
  <si>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</si>
  <si>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</si>
  <si>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</si>
  <si>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</si>
  <si>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</si>
  <si>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</si>
  <si>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</si>
  <si>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</si>
  <si>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</si>
  <si>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</si>
  <si>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</si>
  <si>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</si>
  <si>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</si>
  <si>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2017-08</t>
  </si>
  <si>
    <t>2017-09</t>
  </si>
  <si>
    <t>2017-10</t>
  </si>
  <si>
    <t>2017-11</t>
  </si>
  <si>
    <t>2017-12</t>
  </si>
  <si>
    <t>2018-01</t>
  </si>
  <si>
    <t>2018-02</t>
  </si>
  <si>
    <t>2018-03</t>
  </si>
  <si>
    <t>2018-04</t>
  </si>
  <si>
    <t>2018-05</t>
  </si>
  <si>
    <t>2018-06</t>
  </si>
  <si>
    <t>2018-07</t>
  </si>
  <si>
    <t>2018-08</t>
  </si>
  <si>
    <t>2018-09</t>
  </si>
  <si>
    <t>California</t>
  </si>
  <si>
    <t>Texas</t>
  </si>
  <si>
    <t>New York</t>
  </si>
  <si>
    <t>Florida</t>
  </si>
  <si>
    <t>Illinois</t>
  </si>
  <si>
    <t>Pennsylvania</t>
  </si>
  <si>
    <t>Ohio</t>
  </si>
  <si>
    <t>Michigan</t>
  </si>
  <si>
    <t>Georgia</t>
  </si>
  <si>
    <t>North Carolina</t>
  </si>
  <si>
    <t>New Jersey</t>
  </si>
  <si>
    <t>Virginia</t>
  </si>
  <si>
    <t>Washington</t>
  </si>
  <si>
    <t>Massachusetts</t>
  </si>
  <si>
    <t>Indiana</t>
  </si>
  <si>
    <t>Arizona</t>
  </si>
  <si>
    <t>Tennessee</t>
  </si>
  <si>
    <t>Missouri</t>
  </si>
  <si>
    <t>Maryland</t>
  </si>
  <si>
    <t>Wisconsin</t>
  </si>
  <si>
    <t>Minnesota</t>
  </si>
  <si>
    <t>Colorado</t>
  </si>
  <si>
    <t>Alabama</t>
  </si>
  <si>
    <t>South Carolina</t>
  </si>
  <si>
    <t>Louisiana</t>
  </si>
  <si>
    <t>Kentucky</t>
  </si>
  <si>
    <t>Oregon</t>
  </si>
  <si>
    <t>Oklahoma</t>
  </si>
  <si>
    <t>Connecticut</t>
  </si>
  <si>
    <t>Iowa</t>
  </si>
  <si>
    <t>Mississippi</t>
  </si>
  <si>
    <t>Arkansas</t>
  </si>
  <si>
    <t>Kansas</t>
  </si>
  <si>
    <t>Utah</t>
  </si>
  <si>
    <t>Nevada</t>
  </si>
  <si>
    <t>New Mexico</t>
  </si>
  <si>
    <t>West Virginia</t>
  </si>
  <si>
    <t>Nebraska</t>
  </si>
  <si>
    <t>Idaho</t>
  </si>
  <si>
    <t>Hawaii</t>
  </si>
  <si>
    <t>Maine</t>
  </si>
  <si>
    <t>New Hampshire</t>
  </si>
  <si>
    <t>Rhode Island</t>
  </si>
  <si>
    <t>Montana</t>
  </si>
  <si>
    <t>Delaware</t>
  </si>
  <si>
    <t>South Dakota</t>
  </si>
  <si>
    <t>Alaska</t>
  </si>
  <si>
    <t>North Dakota</t>
  </si>
  <si>
    <t>Vermont</t>
  </si>
  <si>
    <t>District of Columbia</t>
  </si>
  <si>
    <t>Wyoming</t>
  </si>
  <si>
    <t>var statesData = {"type":"FeatureCollection","features":[</t>
  </si>
  <si>
    <t xml:space="preserve">    {"type":"Feature","id":"01","properties":{"name":"Alabama","housevalue":128300},"geometry":{"type":"Polygon","coordinates":[[[-87.359296,35.00118],[-85.606675,34.984749],[-85.431413,34.124869],[-85.184951,32.859696],[-85.069935,32.580372],[-84.960397,32.421541],[-85.004212,32.322956],[-84.889196,32.262709],[-85.058981,32.13674],[-85.053504,32.01077],[-85.141136,31.840985],[-85.042551,31.539753],[-85.113751,31.27686],[-85.004212,31.003013],[-85.497137,30.997536],[-87.600282,30.997536],[-87.633143,30.86609],[-87.408589,30.674397],[-87.446927,30.510088],[-87.37025,30.427934],[-87.518128,30.280057],[-87.655051,30.247195],[-87.90699,30.411504],[-87.934375,30.657966],[-88.011052,30.685351],[-88.10416,30.499135],[-88.137022,30.318396],[-88.394438,30.367688],[-88.471115,31.895754],[-88.241084,33.796253],[-88.098683,34.891641],[-88.202745,34.995703],[-87.359296,35.00118]]]}},</t>
  </si>
  <si>
    <t xml:space="preserve">    {"type":"Feature","id":"02","properties":{"name":"Alaska","housevalue":310200},"geometry":{"type":"MultiPolygon","coordinates":[[[[-131.602021,55.117982],[-131.569159,55.28229],[-131.355558,55.183705],[-131.38842,55.01392],[-131.645836,55.035827],[-131.602021,55.117982]]],[[[-131.832052,55.42469],[-131.645836,55.304197],[-131.749898,55.128935],[-131.832052,55.189182],[-131.832052,55.42469]]],[[[-132.976733,56.437924],[-132.735747,56.459832],[-132.631685,56.421493],[-132.664547,56.273616],[-132.878148,56.240754],[-133.069841,56.333862],[-132.976733,56.437924]]],[[[-133.595627,56.350293],[-133.162949,56.317431],[-133.05341,56.125739],[-132.620732,55.912138],[-132.472854,55.780691],[-132.4619,55.671152],[-132.357838,55.649245],[-132.341408,55.506844],[-132.166146,55.364444],[-132.144238,55.238474],[-132.029222,55.276813],[-131.97993,55.178228],[-131.958022,54.789365],[-132.029222,54.701734],[-132.308546,54.718165],[-132.385223,54.915335],[-132.483808,54.898904],[-132.686455,55.046781],[-132.746701,54.997489],[-132.916486,55.046781],[-132.889102,54.898904],[-132.73027,54.937242],[-132.626209,54.882473],[-132.675501,54.679826],[-132.867194,54.701734],[-133.157472,54.95915],[-133.239626,55.090597],[-133.223195,55.22752],[-133.453227,55.216566],[-133.453227,55.320628],[-133.277964,55.331582],[-133.102702,55.42469],[-133.17938,55.588998],[-133.387503,55.62186],[-133.420365,55.884753],[-133.497042,56.0162],[-133.639442,55.923092],[-133.694212,56.070969],[-133.546335,56.142169],[-133.666827,56.311955],[-133.595627,56.350293]]],[[[-133.738027,55.556137],[-133.546335,55.490413],[-133.414888,55.572568],[-133.283441,55.534229],[-133.420365,55.386352],[-133.633966,55.430167],[-133.738027,55.556137]]],[[[-133.907813,56.930849],[-134.050213,57.029434],[-133.885905,57.095157],[-133.343688,57.002049],[-133.102702,57.007526],[-132.932917,56.82131],[-132.620732,56.667956],[-132.653593,56.55294],[-132.817901,56.492694],[-133.042456,56.520078],[-133.201287,56.448878],[-133.420365,56.492694],[-133.66135,56.448878],[-133.710643,56.684386],[-133.688735,56.837741],[-133.869474,56.843218],[-133.907813,56.930849]]],[[[-134.115936,56.48174],[-134.25286,56.558417],[-134.400737,56.722725],[-134.417168,56.848695],[-134.296675,56.908941],[-134.170706,56.848695],[-134.143321,56.952757],[-133.748981,56.772017],[-133.710643,56.596755],[-133.847566,56.574848],[-133.935197,56.377678],[-133.836612,56.322908],[-133.957105,56.092877],[-134.110459,56.142169],[-134.132367,55.999769],[-134.230952,56.070969],[-134.291198,56.350293],[-134.115936,56.48174]]],[[[-134.636246,56.28457],[-134.669107,56.169554],[-134.806031,56.235277],[-135.178463,56.67891],[-135.413971,56.810356],[-135.331817,56.914418],[-135.424925,57.166357],[-135.687818,57.369004],[-135.419448,57.566174],[-135.298955,57.48402],[-135.063447,57.418296],[-134.849846,57.407343],[-134.844369,57.248511],[-134.636246,56.728202],[-134.636246,56.28457]]],[[[-134.712923,58.223407],[-134.373353,58.14673],[-134.176183,58.157683],[-134.187137,58.081006],[-133.902336,57.807159],[-134.099505,57.850975],[-134.148798,57.757867],[-133.935197,57.615466],[-133.869474,57.363527],[-134.083075,57.297804],[-134.154275,57.210173],[-134.499322,57.029434],[-134.603384,57.034911],[-134.6472,57.226604],[-134.575999,57.341619],[-134.608861,57.511404],[-134.729354,57.719528],[-134.707446,57.829067],[-134.784123,58.097437],[-134.91557,58.212453],[-134.953908,58.409623],[-134.712923,58.223407]]],[[[-135.857603,57.330665],[-135.715203,57.330665],[-135.567326,57.149926],[-135.633049,57.023957],[-135.857603,56.996572],[-135.824742,57.193742],[-135.857603,57.330665]]],[[[-136.279328,58.206976],[-135.978096,58.201499],[-135.780926,58.28913],[-135.496125,58.168637],[-135.64948,58.037191],[-135.59471,57.987898],[-135.45231,58.135776],[-135.107263,58.086483],[-134.91557,57.976944],[-135.025108,57.779775],[-134.937477,57.763344],[-134.822462,57.500451],[-135.085355,57.462112],[-135.572802,57.675713],[-135.556372,57.456635],[-135.709726,57.369004],[-135.890465,57.407343],[-136.000004,57.544266],[-136.208128,57.637374],[-136.366959,57.829067],[-136.569606,57.916698],[-136.558652,58.075529],[-136.421728,58.130299],[-136.377913,58.267222],[-136.279328,58.206976]]],[[[-147.079854,60.200582],[-147.501579,59.948643],[-147.53444,59.850058],[-147.874011,59.784335],[-147.80281,59.937689],[-147.435855,60.09652],[-147.205824,60.271782],[-147.079854,60.200582]]],[[[-147.561825,60.578491],[-147.616594,60.370367],[-147.758995,60.156767],[-147.956165,60.227967],[-147.791856,60.474429],[-147.561825,60.578491]]],[[[-147.786379,70.245291],[-147.682318,70.201475],[-147.162008,70.15766],[-146.888161,70.185044],[-146.510252,70.185044],[-146.099482,70.146706],[-145.858496,70.168614],[-145.622988,70.08646],[-145.195787,69.993352],[-144.620708,69.971444],[-144.461877,70.026213],[-144.078491,70.059075],[-143.914183,70.130275],[-143.497935,70.141229],[-143.503412,70.091936],[-143.25695,70.119321],[-142.747594,70.042644],[-142.402547,69.916674],[-142.079408,69.856428],[-142.008207,69.801659],[-141.712453,69.790705],[-141.433129,69.697597],[-141.378359,69.63735],[-141.208574,69.686643],[-141.00045,69.648304],[-141.00045,60.304644],[-140.53491,60.22249],[-140.474664,60.310121],[-139.987216,60.184151],[-139.696939,60.342983],[-139.088998,60.359413],[-139.198537,60.091043],[-139.045183,59.997935],[-138.700135,59.910304],[-138.623458,59.767904],[-137.604747,59.242118],[-137.445916,58.908024],[-137.265177,59.001132],[-136.827022,59.159963],[-136.580559,59.16544],[-136.465544,59.285933],[-136.476498,59.466672],[-136.301236,59.466672],[-136.25742,59.625503],[-135.945234,59.663842],[-135.479694,59.800766],[-135.025108,59.565257],[-135.068924,59.422857],[-134.959385,59.280456],[-134.701969,59.247595],[-134.378829,59.033994],[-134.400737,58.973748],[-134.25286,58.858732],[-133.842089,58.727285],[-133.173903,58.152206],[-133.075318,57.998852],[-132.867194,57.845498],[-132.560485,57.505928],[-132.253777,57.21565],[-132.368792,57.095157],[-132.05113,57.051341],[-132.127807,56.876079],[-131.870391,56.804879],[-131.837529,56.602232],[-131.580113,56.613186],[-131.087188,56.405062],[-130.78048,56.366724],[-130.621648,56.268139],[-130.468294,56.240754],[-130.424478,56.142169],[-130.101339,56.114785],[-130.002754,55.994292],[-130.150631,55.769737],[-130.128724,55.583521],[-129.986323,55.276813],[-130.095862,55.200136],[-130.336847,54.920812],[-130.687372,54.718165],[-130.785957,54.822227],[-130.917403,54.789365],[-131.010511,54.997489],[-130.983126,55.08512],[-131.092665,55.189182],[-130.862634,55.298721],[-130.928357,55.337059],[-131.158389,55.200136],[-131.284358,55.287767],[-131.426759,55.238474],[-131.843006,55.457552],[-131.700606,55.698537],[-131.963499,55.616383],[-131.974453,55.49589],[-132.182576,55.588998],[-132.226392,55.704014],[-132.083991,55.829984],[-132.127807,55.955953],[-132.324977,55.851892],[-132.522147,56.076446],[-132.642639,56.032631],[-132.719317,56.218847],[-132.527624,56.339339],[-132.341408,56.339339],[-132.396177,56.487217],[-132.297592,56.67891],[-132.450946,56.673433],[-132.768609,56.837741],[-132.993164,57.034911],[-133.51895,57.177311],[-133.507996,57.577128],[-133.677781,57.62642],[-133.639442,57.790728],[-133.814705,57.834544],[-134.072121,58.053622],[-134.143321,58.168637],[-134.586953,58.206976],[-135.074401,58.502731],[-135.282525,59.192825],[-135.38111,59.033994],[-135.337294,58.891593],[-135.140124,58.617746],[-135.189417,58.573931],[-135.05797,58.349376],[-135.085355,58.201499],[-135.277048,58.234361],[-135.430402,58.398669],[-135.633049,58.426053],[-135.91785,58.382238],[-135.912373,58.617746],[-136.087635,58.814916],[-136.246466,58.75467],[-136.876314,58.962794],[-136.931084,58.902547],[-136.586036,58.836824],[-136.317666,58.672516],[-136.213604,58.667039],[-136.180743,58.535592],[-136.043819,58.382238],[-136.388867,58.294607],[-136.591513,58.349376],[-136.59699,58.212453],[-136.859883,58.316515],[-136.947514,58.393192],[-137.111823,58.393192],[-137.566409,58.590362],[-137.900502,58.765624],[-137.933364,58.869686],[-138.11958,59.02304],[-138.634412,59.132579],[-138.919213,59.247595],[-139.417615,59.379041],[-139.746231,59.505011],[-139.718846,59.641934],[-139.625738,59.598119],[-139.5162,59.68575],[-139.625738,59.88292],[-139.488815,59.992458],[-139.554538,60.041751],[-139.801,59.833627],[-140.315833,59.696704],[-140.92925,59.745996],[-141.444083,59.871966],[-141.46599,59.970551],[-141.706976,59.948643],[-141.964392,60.019843],[-142.539471,60.085566],[-142.873564,60.091043],[-143.623905,60.036274],[-143.892275,59.997935],[-144.231845,60.140336],[-144.65357,60.206059],[-144.785016,60.29369],[-144.834309,60.441568],[-145.124586,60.430614],[-145.223171,60.299167],[-145.738004,60.474429],[-145.820158,60.551106],[-146.351421,60.408706],[-146.608837,60.238921],[-146.718376,60.397752],[-146.608837,60.485383],[-146.455483,60.463475],[-145.951604,60.578491],[-146.017328,60.666122],[-146.252836,60.622307],[-146.345944,60.737322],[-146.565022,60.753753],[-146.784099,61.044031],[-146.866253,60.972831],[-147.172962,60.934492],[-147.271547,60.972831],[-147.375609,60.879723],[-147.758995,60.912584],[-147.775426,60.808523],[-148.032842,60.781138],[-148.153334,60.819476],[-148.065703,61.005692],[-148.175242,61.000215],[-148.350504,60.803046],[-148.109519,60.737322],[-148.087611,60.594922],[-147.939734,60.441568],[-148.027365,60.277259],[-148.219058,60.332029],[-148.273827,60.249875],[-148.087611,60.217013],[-147.983549,59.997935],[-148.251919,59.95412],[-148.399797,59.997935],[-148.635305,59.937689],[-148.755798,59.986981],[-149.067984,59.981505],[-149.05703,60.063659],[-149.204907,60.008889],[-149.287061,59.904827],[-149.418508,59.997935],[-149.582816,59.866489],[-149.511616,59.806242],[-149.741647,59.729565],[-149.949771,59.718611],[-150.031925,59.61455],[-150.25648,59.521442],[-150.409834,59.554303],[-150.579619,59.444764],[-150.716543,59.450241],[-151.001343,59.225687],[-151.308052,59.209256],[-151.406637,59.280456],[-151.592853,59.159963],[-151.976239,59.253071],[-151.888608,59.422857],[-151.636669,59.483103],[-151.47236,59.472149],[-151.423068,59.537872],[-151.127313,59.669319],[-151.116359,59.778858],[-151.505222,59.63098],[-151.828361,59.718611],[-151.8667,59.778858],[-151.702392,60.030797],[-151.423068,60.211536],[-151.379252,60.359413],[-151.297098,60.386798],[-151.264237,60.545629],[-151.406637,60.720892],[-151.06159,60.786615],[-150.404357,61.038554],[-150.245526,60.939969],[-150.042879,60.912584],[-149.741647,61.016646],[-150.075741,61.15357],[-150.207187,61.257632],[-150.47008,61.246678],[-150.656296,61.29597],[-150.711066,61.252155],[-151.023251,61.180954],[-151.165652,61.044031],[-151.477837,61.011169],[-151.800977,60.852338],[-151.833838,60.748276],[-152.080301,60.693507],[-152.13507,60.578491],[-152.310332,60.507291],[-152.392486,60.304644],[-152.732057,60.173197],[-152.567748,60.069136],[-152.704672,59.915781],[-153.022334,59.888397],[-153.049719,59.691227],[-153.345474,59.620026],[-153.438582,59.702181],[-153.586459,59.548826],[-153.761721,59.543349],[-153.72886,59.433811],[-154.117723,59.368087],[-154.1944,59.066856],[-153.750768,59.050425],[-153.400243,58.968271],[-153.301658,58.869686],[-153.444059,58.710854],[-153.679567,58.612269],[-153.898645,58.606793],[-153.920553,58.519161],[-154.062953,58.4863],[-153.99723,58.376761],[-154.145107,58.212453],[-154.46277,58.059098],[-154.643509,58.059098],[-154.818771,58.004329],[-154.988556,58.015283],[-155.120003,57.955037],[-155.081664,57.872883],[-155.328126,57.829067],[-155.377419,57.708574],[-155.547204,57.785251],[-155.73342,57.549743],[-156.045606,57.566174],[-156.023698,57.440204],[-156.209914,57.473066],[-156.34136,57.418296],[-156.34136,57.248511],[-156.549484,56.985618],[-156.883577,56.952757],[-157.157424,56.832264],[-157.20124,56.766541],[-157.376502,56.859649],[-157.672257,56.607709],[-157.754411,56.67891],[-157.918719,56.657002],[-157.957058,56.514601],[-158.126843,56.459832],[-158.32949,56.48174],[-158.488321,56.339339],[-158.208997,56.295524],[-158.510229,55.977861],[-159.375585,55.873799],[-159.616571,55.594475],[-159.676817,55.654722],[-159.643955,55.829984],[-159.813741,55.857368],[-160.027341,55.791645],[-160.060203,55.720445],[-160.394296,55.605429],[-160.536697,55.473983],[-160.580512,55.567091],[-160.668143,55.457552],[-160.865313,55.528752],[-161.232268,55.358967],[-161.506115,55.364444],[-161.467776,55.49589],[-161.588269,55.62186],[-161.697808,55.517798],[-161.686854,55.408259],[-162.053809,55.074166],[-162.179779,55.15632],[-162.218117,55.03035],[-162.470057,55.052258],[-162.508395,55.249428],[-162.661749,55.293244],[-162.716519,55.222043],[-162.579595,55.134412],[-162.645319,54.997489],[-162.847965,54.926289],[-163.00132,55.079643],[-163.187536,55.090597],[-163.220397,55.03035],[-163.034181,54.942719],[-163.373752,54.800319],[-163.14372,54.76198],[-163.138243,54.696257],[-163.329936,54.74555],[-163.587352,54.614103],[-164.085754,54.61958],[-164.332216,54.531949],[-164.354124,54.466226],[-164.638925,54.389548],[-164.847049,54.416933],[-164.918249,54.603149],[-164.710125,54.663395],[-164.551294,54.88795],[-164.34317,54.893427],[-163.894061,55.041304],[-163.532583,55.046781],[-163.39566,54.904381],[-163.291598,55.008443],[-163.313505,55.128935],[-163.105382,55.183705],[-162.880827,55.183705],[-162.579595,55.446598],[-162.245502,55.682106],[-161.807347,55.89023],[-161.292514,55.983338],[-161.078914,55.939523],[-160.87079,55.999769],[-160.816021,55.912138],[-160.931036,55.813553],[-160.805067,55.736876],[-160.766728,55.857368],[-160.509312,55.868322],[-160.438112,55.791645],[-160.27928,55.76426],[-160.273803,55.857368],[-160.536697,55.939523],[-160.558604,55.994292],[-160.383342,56.251708],[-160.147834,56.399586],[-159.830171,56.541986],[-159.326293,56.667956],[-158.959338,56.848695],[-158.784076,56.782971],[-158.641675,56.810356],[-158.701922,56.925372],[-158.658106,57.034911],[-158.378782,57.264942],[-157.995396,57.41282],[-157.688688,57.609989],[-157.705118,57.719528],[-157.458656,58.497254],[-157.07527,58.705377],[-157.119086,58.869686],[-158.039212,58.634177],[-158.32949,58.661562],[-158.40069,58.760147],[-158.564998,58.803962],[-158.619768,58.913501],[-158.767645,58.864209],[-158.860753,58.694424],[-158.701922,58.480823],[-158.893615,58.387715],[-159.0634,58.420577],[-159.392016,58.760147],[-159.616571,58.929932],[-159.731586,58.929932],[-159.808264,58.803962],[-159.906848,58.782055],[-160.054726,58.886116],[-160.235465,58.902547],[-160.317619,59.072332],[-160.854359,58.88064],[-161.33633,58.743716],[-161.374669,58.667039],[-161.752577,58.552023],[-161.938793,58.656085],[-161.769008,58.776578],[-161.829255,59.061379],[-161.955224,59.36261],[-161.703285,59.48858],[-161.911409,59.740519],[-162.092148,59.88292],[-162.234548,60.091043],[-162.448149,60.178674],[-162.502918,59.997935],[-162.760334,59.959597],[-163.171105,59.844581],[-163.66403,59.795289],[-163.9324,59.806242],[-164.162431,59.866489],[-164.189816,60.02532],[-164.386986,60.074613],[-164.699171,60.29369],[-164.962064,60.337506],[-165.268773,60.578491],[-165.060649,60.68803],[-165.016834,60.890677],[-165.175665,60.846861],[-165.197573,60.972831],[-165.120896,61.076893],[-165.323543,61.170001],[-165.34545,61.071416],[-165.591913,61.109754],[-165.624774,61.279539],[-165.816467,61.301447],[-165.920529,61.416463],[-165.915052,61.558863],[-166.106745,61.49314],[-166.139607,61.630064],[-165.904098,61.662925],[-166.095791,61.81628],[-165.756221,61.827233],[-165.756221,62.013449],[-165.674067,62.139419],[-165.044219,62.539236],[-164.912772,62.659728],[-164.819664,62.637821],[-164.874433,62.807606],[-164.633448,63.097884],[-164.425324,63.212899],[-164.036462,63.262192],[-163.73523,63.212899],[-163.313505,63.037637],[-163.039658,63.059545],[-162.661749,63.22933],[-162.272887,63.486746],[-162.075717,63.514131],[-162.026424,63.448408],[-161.555408,63.448408],[-161.13916,63.503177],[-160.766728,63.771547],[-160.766728,63.837271],[-160.952944,64.08921],[-160.974852,64.237087],[-161.26513,64.395918],[-161.374669,64.532842],[-161.078914,64.494503],[-160.79959,64.609519],[-160.783159,64.719058],[-161.144637,64.921705],[-161.413007,64.762873],[-161.664946,64.790258],[-161.900455,64.702627],[-162.168825,64.680719],[-162.234548,64.620473],[-162.541257,64.532842],[-162.634365,64.384965],[-162.787719,64.324718],[-162.858919,64.49998],[-163.045135,64.538319],[-163.176582,64.401395],[-163.253259,64.467119],[-163.598306,64.565704],[-164.304832,64.560227],[-164.80871,64.450688],[-165.000403,64.434257],[-165.411174,64.49998],[-166.188899,64.576658],[-166.391546,64.636904],[-166.484654,64.735489],[-166.413454,64.872412],[-166.692778,64.987428],[-166.638008,65.113398],[-166.462746,65.179121],[-166.517516,65.337952],[-166.796839,65.337952],[-167.026871,65.381768],[-167.47598,65.414629],[-167.711489,65.496784],[-168.072967,65.578938],[-168.105828,65.682999],[-167.541703,65.819923],[-166.829701,66.049954],[-166.3313,66.186878],[-166.046499,66.110201],[-165.756221,66.09377],[-165.690498,66.203309],[-165.86576,66.21974],[-165.88219,66.312848],[-165.186619,66.466202],[-164.403417,66.581218],[-163.981692,66.592172],[-163.751661,66.553833],[-163.872153,66.389525],[-163.828338,66.274509],[-163.915969,66.192355],[-163.768091,66.060908],[-163.494244,66.082816],[-163.149197,66.060908],[-162.749381,66.088293],[-162.634365,66.039001],[-162.371472,66.028047],[-162.14144,66.077339],[-161.840208,66.02257],[-161.549931,66.241647],[-161.341807,66.252601],[-161.199406,66.208786],[-161.128206,66.334755],[-161.528023,66.395002],[-161.911409,66.345709],[-161.87307,66.510017],[-162.174302,66.68528],[-162.502918,66.740049],[-162.601503,66.89888],[-162.344087,66.937219],[-162.015471,66.778388],[-162.075717,66.652418],[-161.916886,66.553833],[-161.571838,66.438817],[-161.489684,66.55931],[-161.884024,66.718141],[-161.714239,67.002942],[-161.851162,67.052235],[-162.240025,66.991988],[-162.639842,67.008419],[-162.700088,67.057712],[-162.902735,67.008419],[-163.740707,67.128912],[-163.757138,67.254881],[-164.009077,67.534205],[-164.211724,67.638267],[-164.534863,67.725898],[-165.192096,67.966884],[-165.493328,68.059992],[-165.794559,68.081899],[-166.243668,68.246208],[-166.681824,68.339316],[-166.703731,68.372177],[-166.375115,68.42147],[-166.227238,68.574824],[-166.216284,68.881533],[-165.329019,68.859625],[-164.255539,68.930825],[-163.976215,68.985595],[-163.532583,69.138949],[-163.110859,69.374457],[-163.023228,69.609966],[-162.842489,69.812613],[-162.470057,69.982398],[-162.311225,70.108367],[-161.851162,70.311014],[-161.779962,70.256245],[-161.396576,70.239814],[-160.837928,70.343876],[-160.487404,70.453415],[-159.649432,70.792985],[-159.33177,70.809416],[-159.298908,70.760123],[-158.975769,70.798462],[-158.658106,70.787508],[-158.033735,70.831323],[-157.420318,70.979201],[-156.812377,71.285909],[-156.565915,71.351633],[-156.522099,71.296863],[-155.585543,71.170894],[-155.508865,71.083263],[-155.832005,70.968247],[-155.979882,70.96277],[-155.974405,70.809416],[-155.503388,70.858708],[-155.476004,70.940862],[-155.262403,71.017539],[-155.191203,70.973724],[-155.032372,71.148986],[-154.566832,70.990155],[-154.643509,70.869662],[-154.353231,70.8368],[-154.183446,70.7656],[-153.931507,70.880616],[-153.487874,70.886093],[-153.235935,70.924431],[-152.589656,70.886093],[-152.26104,70.842277],[-152.419871,70.606769],[-151.817408,70.546523],[-151.773592,70.486276],[-151.187559,70.382214],[-151.182082,70.431507],[-150.760358,70.49723],[-150.355064,70.491753],[-150.349588,70.436984],[-150.114079,70.431507],[-149.867617,70.508184],[-149.462323,70.519138],[-149.177522,70.486276],[-148.78866,70.404122],[-148.607921,70.420553],[-148.350504,70.305537],[-148.202627,70.349353],[-147.961642,70.316491],[-147.786379,70.245291]]],[[[-152.94018,58.026237],[-152.945657,57.982421],[-153.290705,58.048145],[-153.044242,58.305561],[-152.819688,58.327469],[-152.666333,58.562977],[-152.496548,58.354853],[-152.354148,58.426053],[-152.080301,58.311038],[-152.080301,58.152206],[-152.480117,58.130299],[-152.655379,58.059098],[-152.94018,58.026237]]],[[[-153.958891,57.538789],[-153.67409,57.670236],[-153.931507,57.69762],[-153.936983,57.812636],[-153.723383,57.889313],[-153.570028,57.834544],[-153.548121,57.719528],[-153.46049,57.796205],[-153.455013,57.96599],[-153.268797,57.889313],[-153.235935,57.998852],[-153.071627,57.933129],[-152.874457,57.933129],[-152.721103,57.993375],[-152.469163,57.889313],[-152.469163,57.599035],[-152.151501,57.620943],[-152.359625,57.42925],[-152.74301,57.505928],[-152.60061,57.379958],[-152.710149,57.275896],[-152.907319,57.325188],[-152.912796,57.128019],[-153.214027,57.073249],[-153.312612,56.991095],[-153.498828,57.067772],[-153.695998,56.859649],[-153.849352,56.837741],[-154.013661,56.744633],[-154.073907,56.969187],[-154.303938,56.848695],[-154.314892,56.919895],[-154.523016,56.991095],[-154.539447,57.193742],[-154.742094,57.275896],[-154.627078,57.511404],[-154.227261,57.659282],[-153.980799,57.648328],[-153.958891,57.538789]]],[[[-154.53397,56.602232],[-154.742094,56.399586],[-154.807817,56.432447],[-154.53397,56.602232]]],[[[-155.634835,55.923092],[-155.476004,55.912138],[-155.530773,55.704014],[-155.793666,55.731399],[-155.837482,55.802599],[-155.634835,55.923092]]],[[[-159.890418,55.28229],[-159.950664,55.068689],[-160.257373,54.893427],[-160.109495,55.161797],[-160.005433,55.134412],[-159.890418,55.28229]]],[[[-160.520266,55.358967],[-160.33405,55.358967],[-160.339527,55.249428],[-160.525743,55.128935],[-160.690051,55.211089],[-160.794113,55.134412],[-160.854359,55.320628],[-160.79959,55.380875],[-160.520266,55.358967]]],[[[-162.256456,54.981058],[-162.234548,54.893427],[-162.349564,54.838658],[-162.437195,54.931766],[-162.256456,54.981058]]],[[[-162.415287,63.634624],[-162.563165,63.536039],[-162.612457,63.62367],[-162.415287,63.634624]]],[[[-162.80415,54.488133],[-162.590549,54.449795],[-162.612457,54.367641],[-162.782242,54.373118],[-162.80415,54.488133]]],[[[-165.548097,54.29644],[-165.476897,54.181425],[-165.630251,54.132132],[-165.685021,54.252625],[-165.548097,54.29644]]],[[[-165.73979,54.15404],[-166.046499,54.044501],[-166.112222,54.121178],[-165.980775,54.219763],[-165.73979,54.15404]]],[[[-166.364161,60.359413],[-166.13413,60.397752],[-166.084837,60.326552],[-165.88219,60.342983],[-165.685021,60.277259],[-165.646682,59.992458],[-165.750744,59.89935],[-166.00816,59.844581],[-166.062929,59.745996],[-166.440838,59.855535],[-166.6161,59.850058],[-166.994009,59.992458],[-167.125456,59.992458],[-167.344534,60.074613],[-167.421211,60.206059],[-167.311672,60.238921],[-166.93924,60.206059],[-166.763978,60.310121],[-166.577762,60.321075],[-166.495608,60.392275],[-166.364161,60.359413]]],[[[-166.375115,54.01164],[-166.210807,53.934962],[-166.5449,53.748746],[-166.539423,53.715885],[-166.117699,53.852808],[-166.112222,53.776131],[-166.282007,53.683023],[-166.555854,53.622777],[-166.583239,53.529669],[-166.878994,53.431084],[-167.13641,53.425607],[-167.306195,53.332499],[-167.623857,53.250345],[-167.793643,53.337976],[-167.459549,53.442038],[-167.355487,53.425607],[-167.103548,53.513238],[-167.163794,53.611823],[-167.021394,53.715885],[-166.807793,53.666592],[-166.785886,53.732316],[-167.015917,53.754223],[-167.141887,53.825424],[-167.032348,53.945916],[-166.643485,54.017116],[-166.561331,53.880193],[-166.375115,54.01164]]],[[[-168.790446,53.157237],[-168.40706,53.34893],[-168.385152,53.431084],[-168.237275,53.524192],[-168.007243,53.568007],[-167.886751,53.518715],[-167.842935,53.387268],[-168.270136,53.244868],[-168.500168,53.036744],[-168.686384,52.965544],[-168.790446,53.157237]]],[[[-169.74891,52.894344],[-169.705095,52.795759],[-169.962511,52.790282],[-169.989896,52.856005],[-169.74891,52.894344]]],[[[-170.148727,57.221127],[-170.28565,57.128019],[-170.313035,57.221127],[-170.148727,57.221127]]],[[[-170.669036,52.697174],[-170.603313,52.604066],[-170.789529,52.538343],[-170.816914,52.636928],[-170.669036,52.697174]]],[[[-171.742517,63.716778],[-170.94836,63.5689],[-170.488297,63.69487],[-170.280174,63.683916],[-170.093958,63.612716],[-170.044665,63.492223],[-169.644848,63.4265],[-169.518879,63.366254],[-168.99857,63.338869],[-168.686384,63.295053],[-168.856169,63.147176],[-169.108108,63.180038],[-169.376478,63.152653],[-169.513402,63.08693],[-169.639372,62.939052],[-169.831064,63.075976],[-170.055619,63.169084],[-170.263743,63.180038],[-170.362328,63.2841],[-170.866206,63.415546],[-171.101715,63.421023],[-171.463193,63.306007],[-171.73704,63.366254],[-171.852055,63.486746],[-171.742517,63.716778]]],[[[-172.432611,52.390465],[-172.41618,52.275449],[-172.607873,52.253542],[-172.569535,52.352127],[-172.432611,52.390465]]],[[[-173.626584,52.14948],[-173.495138,52.105664],[-173.122706,52.111141],[-173.106275,52.07828],[-173.549907,52.028987],[-173.626584,52.14948]]],[[[-174.322156,52.280926],[-174.327632,52.379511],[-174.185232,52.41785],[-173.982585,52.319265],[-174.059262,52.226157],[-174.179755,52.231634],[-174.141417,52.127572],[-174.333109,52.116618],[-174.738403,52.007079],[-174.968435,52.039941],[-174.902711,52.116618],[-174.656249,52.105664],[-174.322156,52.280926]]],[[[-176.469116,51.853725],[-176.288377,51.870156],[-176.288377,51.744186],[-176.518409,51.760617],[-176.80321,51.61274],[-176.912748,51.80991],[-176.792256,51.815386],[-176.775825,51.963264],[-176.627947,51.968741],[-176.627947,51.859202],[-176.469116,51.853725]]],[[[-177.153734,51.946833],[-177.044195,51.897541],[-177.120872,51.727755],[-177.274226,51.678463],[-177.279703,51.782525],[-177.153734,51.946833]]],[[[-178.123152,51.919448],[-177.953367,51.913971],[-177.800013,51.793479],[-177.964321,51.651078],[-178.123152,51.919448]]],[[[-187.107557,52.992929],[-187.293773,52.927205],[-187.304726,52.823143],[-188.90491,52.762897],[-188.642017,52.927205],[-188.642017,53.003883],[-187.107557,52.992929]]]]}},</t>
  </si>
  <si>
    <t xml:space="preserve">    {"type":"Feature","id":"04","properties":{"name":"Arizona","housevalue":244600},"geometry":{"type":"Polygon","coordinates":[[[-109.042503,37.000263],[-109.04798,31.331629],[-111.074448,31.331629],[-112.246513,31.704061],[-114.815198,32.492741],[-114.72209,32.717295],[-114.524921,32.755634],[-114.470151,32.843265],[-114.524921,33.029481],[-114.661844,33.034958],[-114.727567,33.40739],[-114.524921,33.54979],[-114.497536,33.697668],[-114.535874,33.933176],[-114.415382,34.108438],[-114.256551,34.174162],[-114.136058,34.305608],[-114.333228,34.448009],[-114.470151,34.710902],[-114.634459,34.87521],[-114.634459,35.00118],[-114.574213,35.138103],[-114.596121,35.324319],[-114.678275,35.516012],[-114.738521,36.102045],[-114.371566,36.140383],[-114.251074,36.01989],[-114.152489,36.025367],[-114.048427,36.195153],[-114.048427,37.000263],[-110.499369,37.00574],[-109.042503,37.000263]]]}},</t>
  </si>
  <si>
    <t xml:space="preserve">    {"type":"Feature","id":"05","properties":{"name":"Arkansas","housevalue":122800},"geometry":{"type":"Polygon","coordinates":[[[-94.473842,36.501861],[-90.152536,36.496384],[-90.064905,36.304691],[-90.218259,36.184199],[-90.377091,35.997983],[-89.730812,35.997983],[-89.763673,35.811767],[-89.911551,35.756997],[-89.944412,35.603643],[-90.130628,35.439335],[-90.114197,35.198349],[-90.212782,35.023087],[-90.311367,34.995703],[-90.251121,34.908072],[-90.409952,34.831394],[-90.481152,34.661609],[-90.585214,34.617794],[-90.568783,34.420624],[-90.749522,34.365854],[-90.744046,34.300131],[-90.952169,34.135823],[-90.891923,34.026284],[-91.072662,33.867453],[-91.231493,33.560744],[-91.056231,33.429298],[-91.143862,33.347144],[-91.089093,33.13902],[-91.16577,33.002096],[-93.608485,33.018527],[-94.041164,33.018527],[-94.041164,33.54979],[-94.183564,33.593606],[-94.380734,33.544313],[-94.484796,33.637421],[-94.430026,35.395519],[-94.616242,36.501861],[-94.473842,36.501861]]]}},</t>
  </si>
  <si>
    <t xml:space="preserve">    {"type":"Feature","id":"06","properties":{"name":"California","housevalue":544900},"geometry":{"type":"Polygon","coordinates":[[[-123.233256,42.006186],[-122.378853,42.011663],[-121.037003,41.995232],[-120.001861,41.995232],[-119.996384,40.264519],[-120.001861,38.999346],[-118.71478,38.101128],[-117.498899,37.21934],[-116.540435,36.501861],[-115.85034,35.970598],[-114.634459,35.00118],[-114.634459,34.87521],[-114.470151,34.710902],[-114.333228,34.448009],[-114.136058,34.305608],[-114.256551,34.174162],[-114.415382,34.108438],[-114.535874,33.933176],[-114.497536,33.697668],[-114.524921,33.54979],[-114.727567,33.40739],[-114.661844,33.034958],[-114.524921,33.029481],[-114.470151,32.843265],[-114.524921,32.755634],[-114.72209,32.717295],[-116.04751,32.624187],[-117.126467,32.536556],[-117.24696,32.668003],[-117.252437,32.876127],[-117.329114,33.122589],[-117.471515,33.297851],[-117.7837,33.538836],[-118.183517,33.763391],[-118.260194,33.703145],[-118.413548,33.741483],[-118.391641,33.840068],[-118.566903,34.042715],[-118.802411,33.998899],[-119.218659,34.146777],[-119.278905,34.26727],[-119.558229,34.415147],[-119.875891,34.40967],[-120.138784,34.475393],[-120.472878,34.448009],[-120.64814,34.579455],[-120.609801,34.858779],[-120.670048,34.902595],[-120.631709,35.099764],[-120.894602,35.247642],[-120.905556,35.450289],[-121.004141,35.461243],[-121.168449,35.636505],[-121.283465,35.674843],[-121.332757,35.784382],[-121.716143,36.195153],[-121.896882,36.315645],[-121.935221,36.638785],[-121.858544,36.6114],[-121.787344,36.803093],[-121.929744,36.978355],[-122.105006,36.956447],[-122.335038,37.115279],[-122.417192,37.241248],[-122.400761,37.361741],[-122.515777,37.520572],[-122.515777,37.783465],[-122.329561,37.783465],[-122.406238,38.15042],[-122.488392,38.112082],[-122.504823,37.931343],[-122.701993,37.893004],[-122.937501,38.029928],[-122.97584,38.265436],[-123.129194,38.451652],[-123.331841,38.566668],[-123.44138,38.698114],[-123.737134,38.95553],[-123.687842,39.032208],[-123.824765,39.366301],[-123.764519,39.552517],[-123.85215,39.831841],[-124.109566,40.105688],[-124.361506,40.259042],[-124.410798,40.439781],[-124.158859,40.877937],[-124.109566,41.025814],[-124.158859,41.14083],[-124.065751,41.442061],[-124.147905,41.715908],[-124.257444,41.781632],[-124.213628,42.000709],[-123.233256,42.006186]]]}},</t>
  </si>
  <si>
    <t xml:space="preserve">    {"type":"Feature","id":"08","properties":{"name":"Colorado","housevalue":368100},"geometry":{"type":"Polygon","coordinates":[[[-107.919731,41.003906],[-105.728954,40.998429],[-104.053011,41.003906],[-102.053927,41.003906],[-102.053927,40.001626],[-102.042974,36.994786],[-103.001438,37.000263],[-104.337812,36.994786],[-106.868158,36.994786],[-107.421329,37.000263],[-109.042503,37.000263],[-109.042503,38.166851],[-109.058934,38.27639],[-109.053457,39.125316],[-109.04798,40.998429],[-107.919731,41.003906]]]}},</t>
  </si>
  <si>
    <t xml:space="preserve">    {"type":"Feature","id":"09","properties":{"name":"Connecticut","housevalue":241800},"geometry":{"type":"Polygon","coordinates":[[[-73.053528,42.039048],[-71.799309,42.022617],[-71.799309,42.006186],[-71.799309,41.414677],[-71.859555,41.321569],[-71.947186,41.338],[-72.385341,41.261322],[-72.905651,41.28323],[-73.130205,41.146307],[-73.371191,41.102491],[-73.655992,40.987475],[-73.727192,41.102491],[-73.48073,41.21203],[-73.55193,41.294184],[-73.486206,42.050002],[-73.053528,42.039048]]]}},</t>
  </si>
  <si>
    <t xml:space="preserve">    {"type":"Feature","id":"10","properties":{"name":"Delaware","housevalue":232100},"geometry":{"type":"Polygon","coordinates":[[[-75.414089,39.804456],[-75.507197,39.683964],[-75.611259,39.61824],[-75.589352,39.459409],[-75.441474,39.311532],[-75.403136,39.065069],[-75.189535,38.807653],[-75.09095,38.796699],[-75.047134,38.451652],[-75.693413,38.462606],[-75.786521,39.722302],[-75.616736,39.831841],[-75.414089,39.804456]]]}},</t>
  </si>
  <si>
    <t xml:space="preserve">    {"type":"Feature","id":"11","properties":{"name":"District of Columbia","housevalue":572100},"geometry":{"type":"Polygon","coordinates":[[[-77.035264,38.993869],[-76.909294,38.895284],[-77.040741,38.791222],[-77.117418,38.933623],[-77.035264,38.993869]]]}},</t>
  </si>
  <si>
    <t xml:space="preserve">    {"type":"Feature","id":"12","properties":{"name":"Florida","housevalue":227800},"geometry":{"type":"Polygon","coordinates":[[[-85.497137,30.997536],[-85.004212,31.003013],[-84.867289,30.712735],[-83.498053,30.647012],[-82.216449,30.570335],[-82.167157,30.356734],[-82.046664,30.362211],[-82.002849,30.564858],[-82.041187,30.751074],[-81.948079,30.827751],[-81.718048,30.745597],[-81.444201,30.707258],[-81.383954,30.27458],[-81.257985,29.787132],[-80.967707,29.14633],[-80.524075,28.461713],[-80.589798,28.41242],[-80.56789,28.094758],[-80.381674,27.738757],[-80.091397,27.021277],[-80.03115,26.796723],[-80.036627,26.566691],[-80.146166,25.739673],[-80.239274,25.723243],[-80.337859,25.465826],[-80.304997,25.383672],[-80.49669,25.197456],[-80.573367,25.241272],[-80.759583,25.164595],[-81.077246,25.120779],[-81.170354,25.224841],[-81.126538,25.378195],[-81.351093,25.821827],[-81.526355,25.903982],[-81.679709,25.843735],[-81.800202,26.090198],[-81.833064,26.292844],[-82.041187,26.517399],[-82.09048,26.665276],[-82.057618,26.878877],[-82.172634,26.917216],[-82.145249,26.791246],[-82.249311,26.758384],[-82.566974,27.300601],[-82.692943,27.437525],[-82.391711,27.837342],[-82.588881,27.815434],[-82.720328,27.689464],[-82.851774,27.886634],[-82.676512,28.434328],[-82.643651,28.888914],[-82.764143,28.998453],[-82.802482,29.14633],[-82.994175,29.179192],[-83.218729,29.420177],[-83.399469,29.518762],[-83.410422,29.66664],[-83.536392,29.721409],[-83.640454,29.885717],[-84.02384,30.104795],[-84.357933,30.055502],[-84.341502,29.902148],[-84.451041,29.929533],[-84.867289,29.743317],[-85.310921,29.699501],[-85.299967,29.80904],[-85.404029,29.940487],[-85.924338,30.236241],[-86.29677,30.362211],[-86.630863,30.395073],[-86.910187,30.373165],[-87.518128,30.280057],[-87.37025,30.427934],[-87.446927,30.510088],[-87.408589,30.674397],[-87.633143,30.86609],[-87.600282,30.997536],[-85.497137,30.997536]]]}},</t>
  </si>
  <si>
    <t xml:space="preserve">    {"type":"Feature","id":"13","properties":{"name":"Georgia","housevalue":179200},"geometry":{"type":"Polygon","coordinates":[[[-83.109191,35.00118],[-83.322791,34.787579],[-83.339222,34.683517],[-83.005129,34.469916],[-82.901067,34.486347],[-82.747713,34.26727],[-82.714851,34.152254],[-82.55602,33.94413],[-82.325988,33.81816],[-82.194542,33.631944],[-81.926172,33.462159],[-81.937125,33.347144],[-81.761863,33.160928],[-81.493493,33.007573],[-81.42777,32.843265],[-81.416816,32.629664],[-81.279893,32.558464],[-81.121061,32.290094],[-81.115584,32.120309],[-80.885553,32.032678],[-81.132015,31.693108],[-81.175831,31.517845],[-81.279893,31.364491],[-81.290846,31.20566],[-81.400385,31.13446],[-81.444201,30.707258],[-81.718048,30.745597],[-81.948079,30.827751],[-82.041187,30.751074],[-82.002849,30.564858],[-82.046664,30.362211],[-82.167157,30.356734],[-82.216449,30.570335],[-83.498053,30.647012],[-84.867289,30.712735],[-85.004212,31.003013],[-85.113751,31.27686],[-85.042551,31.539753],[-85.141136,31.840985],[-85.053504,32.01077],[-85.058981,32.13674],[-84.889196,32.262709],[-85.004212,32.322956],[-84.960397,32.421541],[-85.069935,32.580372],[-85.184951,32.859696],[-85.431413,34.124869],[-85.606675,34.984749],[-84.319594,34.990226],[-83.618546,34.984749],[-83.109191,35.00118]]]}},</t>
  </si>
  <si>
    <t xml:space="preserve">    {"type":"Feature","id":"15","properties":{"name":"Hawaii","housevalue":619000},"geometry":{"type":"MultiPolygon","coordinates":[[[[-155.634835,18.948267],[-155.881297,19.035898],[-155.919636,19.123529],[-155.886774,19.348084],[-156.062036,19.73147],[-155.925113,19.857439],[-155.826528,20.032702],[-155.897728,20.147717],[-155.87582,20.26821],[-155.596496,20.12581],[-155.284311,20.021748],[-155.092618,19.868393],[-155.092618,19.736947],[-154.807817,19.523346],[-154.983079,19.348084],[-155.295265,19.26593],[-155.514342,19.134483],[-155.634835,18.948267]]],[[[-156.587823,21.029505],[-156.472807,20.892581],[-156.324929,20.952827],[-156.00179,20.793996],[-156.051082,20.651596],[-156.379699,20.580396],[-156.445422,20.60778],[-156.461853,20.783042],[-156.631638,20.821381],[-156.697361,20.919966],[-156.587823,21.029505]]],[[[-156.982162,21.210244],[-157.080747,21.106182],[-157.310779,21.106182],[-157.239579,21.221198],[-156.982162,21.210244]]],[[[-157.951581,21.697691],[-157.842042,21.462183],[-157.896811,21.325259],[-158.110412,21.303352],[-158.252813,21.582676],[-158.126843,21.588153],[-157.951581,21.697691]]],[[[-159.468693,22.228955],[-159.353678,22.218001],[-159.298908,22.113939],[-159.33177,21.966061],[-159.446786,21.872953],[-159.764448,21.987969],[-159.726109,22.152277],[-159.468693,22.228955]]]]}},</t>
  </si>
  <si>
    <t xml:space="preserve">    {"type":"Feature","id":"16","properties":{"name":"Idaho","housevalue":241300},"geometry":{"type":"Polygon","coordinates":[[[-116.04751,49.000239],[-116.04751,47.976051],[-115.724371,47.696727],[-115.718894,47.42288],[-115.527201,47.302388],[-115.324554,47.258572],[-115.302646,47.187372],[-114.930214,46.919002],[-114.886399,46.809463],[-114.623506,46.705401],[-114.612552,46.639678],[-114.322274,46.645155],[-114.464674,46.272723],[-114.492059,46.037214],[-114.387997,45.88386],[-114.568736,45.774321],[-114.497536,45.670259],[-114.546828,45.560721],[-114.333228,45.456659],[-114.086765,45.593582],[-113.98818,45.703121],[-113.807441,45.604536],[-113.834826,45.522382],[-113.736241,45.330689],[-113.571933,45.128042],[-113.45144,45.056842],[-113.456917,44.865149],[-113.341901,44.782995],[-113.133778,44.772041],[-113.002331,44.448902],[-112.887315,44.394132],[-112.783254,44.48724],[-112.471068,44.481763],[-112.241036,44.569394],[-112.104113,44.520102],[-111.868605,44.563917],[-111.819312,44.509148],[-111.616665,44.547487],[-111.386634,44.75561],[-111.227803,44.580348],[-111.047063,44.476286],[-111.047063,42.000709],[-112.164359,41.995232],[-114.04295,41.995232],[-117.027882,42.000709],[-117.027882,43.830007],[-116.896436,44.158624],[-116.97859,44.240778],[-117.170283,44.257209],[-117.241483,44.394132],[-117.038836,44.750133],[-116.934774,44.782995],[-116.830713,44.930872],[-116.847143,45.02398],[-116.732128,45.144473],[-116.671881,45.319735],[-116.463758,45.61549],[-116.545912,45.752413],[-116.78142,45.823614],[-116.918344,45.993399],[-116.92382,46.168661],[-117.055267,46.343923],[-117.038836,46.426077],[-117.044313,47.762451],[-117.033359,49.000239],[-116.04751,49.000239]]]}},</t>
  </si>
  <si>
    <t xml:space="preserve">    {"type":"Feature","id":"17","properties":{"name":"Illinois","housevalue":176800},"geometry":{"type":"Polygon","coordinates":[[[-90.639984,42.510065],[-88.788778,42.493634],[-87.802929,42.493634],[-87.83579,42.301941],[-87.682436,42.077386],[-87.523605,41.710431],[-87.529082,39.34987],[-87.63862,39.169131],[-87.512651,38.95553],[-87.49622,38.780268],[-87.62219,38.637868],[-87.655051,38.506421],[-87.83579,38.292821],[-87.950806,38.27639],[-87.923421,38.15042],[-88.000098,38.101128],[-88.060345,37.865619],[-88.027483,37.799896],[-88.15893,37.657496],[-88.065822,37.482234],[-88.476592,37.389126],[-88.514931,37.285064],[-88.421823,37.153617],[-88.547792,37.071463],[-88.914747,37.224817],[-89.029763,37.213863],[-89.183118,37.038601],[-89.133825,36.983832],[-89.292656,36.994786],[-89.517211,37.279587],[-89.435057,37.34531],[-89.517211,37.537003],[-89.517211,37.690357],[-89.84035,37.903958],[-89.949889,37.88205],[-90.059428,38.013497],[-90.355183,38.216144],[-90.349706,38.374975],[-90.179921,38.632391],[-90.207305,38.725499],[-90.10872,38.845992],[-90.251121,38.917192],[-90.470199,38.961007],[-90.585214,38.867899],[-90.661891,38.928146],[-90.727615,39.256762],[-91.061708,39.470363],[-91.368417,39.727779],[-91.494386,40.034488],[-91.50534,40.237135],[-91.417709,40.379535],[-91.401278,40.560274],[-91.121954,40.669813],[-91.09457,40.823167],[-90.963123,40.921752],[-90.946692,41.097014],[-91.111001,41.239415],[-91.045277,41.414677],[-90.656414,41.463969],[-90.344229,41.589939],[-90.311367,41.743293],[-90.179921,41.809016],[-90.141582,42.000709],[-90.168967,42.126679],[-90.393521,42.225264],[-90.420906,42.329326],[-90.639984,42.510065]]]}},</t>
  </si>
  <si>
    <t xml:space="preserve">    {"type":"Feature","id":"18","properties":{"name":"Indiana","housevalue":137300},"geometry":{"type":"Polygon","coordinates":[[[-85.990061,41.759724],[-84.807042,41.759724],[-84.807042,41.694001],[-84.801565,40.500028],[-84.817996,39.103408],[-84.894673,39.059592],[-84.812519,38.785745],[-84.987781,38.780268],[-85.173997,38.68716],[-85.431413,38.730976],[-85.42046,38.533806],[-85.590245,38.451652],[-85.655968,38.325682],[-85.83123,38.27639],[-85.924338,38.024451],[-86.039354,37.958727],[-86.263908,38.051835],[-86.302247,38.166851],[-86.521325,38.040881],[-86.504894,37.931343],[-86.729448,37.893004],[-86.795172,37.991589],[-87.047111,37.893004],[-87.129265,37.788942],[-87.381204,37.93682],[-87.512651,37.903958],[-87.600282,37.975158],[-87.682436,37.903958],[-87.934375,37.893004],[-88.027483,37.799896],[-88.060345,37.865619],[-88.000098,38.101128],[-87.923421,38.15042],[-87.950806,38.27639],[-87.83579,38.292821],[-87.655051,38.506421],[-87.62219,38.637868],[-87.49622,38.780268],[-87.512651,38.95553],[-87.63862,39.169131],[-87.529082,39.34987],[-87.523605,41.710431],[-87.42502,41.644708],[-87.118311,41.644708],[-86.822556,41.759724],[-85.990061,41.759724]]]}},</t>
  </si>
  <si>
    <t xml:space="preserve">    {"type":"Feature","id":"19","properties":{"name":"Iowa","housevalue":140500},"geometry":{"type":"Polygon","coordinates":[[[-91.368417,43.501391],[-91.215062,43.501391],[-91.204109,43.353514],[-91.056231,43.254929],[-91.176724,43.134436],[-91.143862,42.909881],[-91.067185,42.75105],[-90.711184,42.636034],[-90.639984,42.510065],[-90.420906,42.329326],[-90.393521,42.225264],[-90.168967,42.126679],[-90.141582,42.000709],[-90.179921,41.809016],[-90.311367,41.743293],[-90.344229,41.589939],[-90.656414,41.463969],[-91.045277,41.414677],[-91.111001,41.239415],[-90.946692,41.097014],[-90.963123,40.921752],[-91.09457,40.823167],[-91.121954,40.669813],[-91.401278,40.560274],[-91.417709,40.379535],[-91.527248,40.412397],[-91.729895,40.615043],[-91.833957,40.609566],[-93.257961,40.582182],[-94.632673,40.571228],[-95.7664,40.587659],[-95.881416,40.719105],[-95.826646,40.976521],[-95.925231,41.201076],[-95.919754,41.453015],[-96.095016,41.540646],[-96.122401,41.67757],[-96.062155,41.798063],[-96.127878,41.973325],[-96.264801,42.039048],[-96.44554,42.488157],[-96.631756,42.707235],[-96.544125,42.855112],[-96.511264,43.052282],[-96.434587,43.123482],[-96.560556,43.222067],[-96.527695,43.397329],[-96.582464,43.479483],[-96.451017,43.501391],[-91.368417,43.501391]]]}},</t>
  </si>
  <si>
    <t xml:space="preserve">    {"type":"Feature","id":"20","properties":{"name":"Kansas","housevalue":136800},"geometry":{"type":"Polygon","coordinates":[[[-101.90605,40.001626],[-95.306337,40.001626],[-95.207752,39.908518],[-94.884612,39.831841],[-95.109167,39.541563],[-94.983197,39.442978],[-94.824366,39.20747],[-94.610765,39.158177],[-94.616242,37.000263],[-100.087706,37.000263],[-102.042974,36.994786],[-102.053927,40.001626],[-101.90605,40.001626]]]}},</t>
  </si>
  <si>
    <t xml:space="preserve">    {"type":"Feature","id":"21","properties":{"name":"Kentucky","housevalue":141600},"geometry":{"type":"Polygon","coordinates":[[[-83.903347,38.769315],[-83.678792,38.632391],[-83.519961,38.703591],[-83.142052,38.626914],[-83.032514,38.725499],[-82.890113,38.758361],[-82.846298,38.588575],[-82.731282,38.561191],[-82.594358,38.424267],[-82.621743,38.123036],[-82.50125,37.931343],[-82.342419,37.783465],[-82.293127,37.668449],[-82.101434,37.553434],[-81.969987,37.537003],[-82.353373,37.268633],[-82.720328,37.120755],[-82.720328,37.044078],[-82.868205,36.978355],[-82.879159,36.890724],[-83.070852,36.852385],[-83.136575,36.742847],[-83.673316,36.600446],[-83.689746,36.584015],[-84.544149,36.594969],[-85.289013,36.627831],[-85.486183,36.616877],[-86.592525,36.655216],[-87.852221,36.633308],[-88.071299,36.677123],[-88.054868,36.496384],[-89.298133,36.507338],[-89.418626,36.496384],[-89.363857,36.622354],[-89.215979,36.578538],[-89.133825,36.983832],[-89.183118,37.038601],[-89.029763,37.213863],[-88.914747,37.224817],[-88.547792,37.071463],[-88.421823,37.153617],[-88.514931,37.285064],[-88.476592,37.389126],[-88.065822,37.482234],[-88.15893,37.657496],[-88.027483,37.799896],[-87.934375,37.893004],[-87.682436,37.903958],[-87.600282,37.975158],[-87.512651,37.903958],[-87.381204,37.93682],[-87.129265,37.788942],[-87.047111,37.893004],[-86.795172,37.991589],[-86.729448,37.893004],[-86.504894,37.931343],[-86.521325,38.040881],[-86.302247,38.166851],[-86.263908,38.051835],[-86.039354,37.958727],[-85.924338,38.024451],[-85.83123,38.27639],[-85.655968,38.325682],[-85.590245,38.451652],[-85.42046,38.533806],[-85.431413,38.730976],[-85.173997,38.68716],[-84.987781,38.780268],[-84.812519,38.785745],[-84.894673,39.059592],[-84.817996,39.103408],[-84.43461,39.103408],[-84.231963,38.895284],[-84.215533,38.807653],[-83.903347,38.769315]]]}},</t>
  </si>
  <si>
    <t xml:space="preserve">    {"type":"Feature","id":"22","properties":{"name":"Louisiana","housevalue":146100},"geometry":{"type":"Polygon","coordinates":[[[-93.608485,33.018527],[-91.16577,33.002096],[-91.072662,32.887081],[-91.143862,32.843265],[-91.154816,32.640618],[-91.006939,32.514649],[-90.985031,32.218894],[-91.105524,31.988862],[-91.341032,31.846462],[-91.401278,31.621907],[-91.499863,31.643815],[-91.516294,31.27686],[-91.636787,31.265906],[-91.565587,31.068736],[-91.636787,30.997536],[-89.747242,30.997536],[-89.845827,30.66892],[-89.681519,30.449842],[-89.643181,30.285534],[-89.522688,30.181472],[-89.818443,30.044549],[-89.84035,29.945964],[-89.599365,29.88024],[-89.495303,30.039072],[-89.287179,29.88024],[-89.30361,29.754271],[-89.424103,29.699501],[-89.648657,29.748794],[-89.621273,29.655686],[-89.69795,29.513285],[-89.506257,29.387316],[-89.199548,29.348977],[-89.09001,29.2011],[-89.002379,29.179192],[-89.16121,29.009407],[-89.336472,29.042268],[-89.484349,29.217531],[-89.851304,29.310638],[-89.851304,29.480424],[-90.032043,29.425654],[-90.021089,29.283254],[-90.103244,29.151807],[-90.23469,29.129899],[-90.333275,29.277777],[-90.563307,29.283254],[-90.645461,29.129899],[-90.798815,29.086084],[-90.963123,29.179192],[-91.09457,29.190146],[-91.220539,29.436608],[-91.445094,29.546147],[-91.532725,29.529716],[-91.620356,29.73784],[-91.883249,29.710455],[-91.888726,29.836425],[-92.146142,29.715932],[-92.113281,29.622824],[-92.31045,29.535193],[-92.617159,29.579009],[-92.97316,29.715932],[-93.2251,29.776178],[-93.767317,29.726886],[-93.838517,29.688547],[-93.926148,29.787132],[-93.690639,30.143133],[-93.767317,30.334826],[-93.696116,30.438888],[-93.728978,30.575812],[-93.630393,30.679874],[-93.526331,30.93729],[-93.542762,31.15089],[-93.816609,31.556184],[-93.822086,31.775262],[-94.041164,31.994339],[-94.041164,33.018527],[-93.608485,33.018527]]]}},</t>
  </si>
  <si>
    <t xml:space="preserve">    {"type":"Feature","id":"23","properties":{"name":"Maine","housevalue":228400},"geometry":{"type":"Polygon","coordinates":[[[-70.703921,43.057759],[-70.824413,43.128959],[-70.807983,43.227544],[-70.966814,43.34256],[-71.032537,44.657025],[-71.08183,45.303304],[-70.649151,45.440228],[-70.720352,45.511428],[-70.556043,45.664782],[-70.386258,45.735983],[-70.41912,45.796229],[-70.260289,45.889337],[-70.309581,46.064599],[-70.210996,46.327492],[-70.057642,46.415123],[-69.997395,46.694447],[-69.225147,47.461219],[-69.044408,47.428357],[-69.033454,47.242141],[-68.902007,47.176418],[-68.578868,47.285957],[-68.376221,47.285957],[-68.233821,47.357157],[-67.954497,47.198326],[-67.790188,47.066879],[-67.779235,45.944106],[-67.801142,45.675736],[-67.456095,45.604536],[-67.505388,45.48952],[-67.417757,45.379982],[-67.488957,45.281397],[-67.346556,45.128042],[-67.16034,45.160904],[-66.979601,44.804903],[-67.187725,44.646072],[-67.308218,44.706318],[-67.406803,44.596779],[-67.549203,44.624164],[-67.565634,44.531056],[-67.75185,44.54201],[-68.047605,44.328409],[-68.118805,44.476286],[-68.222867,44.48724],[-68.173574,44.328409],[-68.403606,44.251732],[-68.458375,44.377701],[-68.567914,44.311978],[-68.82533,44.311978],[-68.830807,44.459856],[-68.984161,44.426994],[-68.956777,44.322932],[-69.099177,44.103854],[-69.071793,44.043608],[-69.258008,43.923115],[-69.444224,43.966931],[-69.553763,43.840961],[-69.707118,43.82453],[-69.833087,43.720469],[-69.986442,43.742376],[-70.030257,43.851915],[-70.254812,43.676653],[-70.194565,43.567114],[-70.358873,43.528776],[-70.369827,43.435668],[-70.556043,43.320652],[-70.703921,43.057759]]]}},</t>
  </si>
  <si>
    <t xml:space="preserve">    {"type":"Feature","id":"24","properties":{"name":"Maryland","housevalue":285400},"geometry":{"type":"MultiPolygon","coordinates":[[[[-75.994645,37.95325],[-76.016553,37.95325],[-76.043938,37.95325],[-75.994645,37.95325]]],[[[-79.477979,39.722302],[-75.786521,39.722302],[-75.693413,38.462606],[-75.047134,38.451652],[-75.244304,38.029928],[-75.397659,38.013497],[-75.671506,37.95325],[-75.885106,37.909435],[-75.879629,38.073743],[-75.961783,38.139466],[-75.846768,38.210667],[-76.000122,38.374975],[-76.049415,38.303775],[-76.257538,38.320205],[-76.328738,38.500944],[-76.263015,38.500944],[-76.257538,38.736453],[-76.191815,38.829561],[-76.279446,39.147223],[-76.169907,39.333439],[-76.000122,39.366301],[-75.972737,39.557994],[-76.098707,39.536086],[-76.104184,39.437501],[-76.367077,39.311532],[-76.443754,39.196516],[-76.460185,38.906238],[-76.55877,38.769315],[-76.514954,38.539283],[-76.383508,38.380452],[-76.399939,38.259959],[-76.317785,38.139466],[-76.3616,38.057312],[-76.591632,38.216144],[-76.920248,38.292821],[-77.018833,38.446175],[-77.205049,38.358544],[-77.276249,38.479037],[-77.128372,38.632391],[-77.040741,38.791222],[-76.909294,38.895284],[-77.035264,38.993869],[-77.117418,38.933623],[-77.248864,39.026731],[-77.456988,39.076023],[-77.456988,39.223901],[-77.566527,39.306055],[-77.719881,39.322485],[-77.834897,39.601809],[-78.004682,39.601809],[-78.174467,39.694917],[-78.267575,39.61824],[-78.431884,39.623717],[-78.470222,39.514178],[-78.765977,39.585379],[-78.963147,39.437501],[-79.094593,39.470363],[-79.291763,39.300578],[-79.488933,39.20747],[-79.477979,39.722302]]]]}},</t>
  </si>
  <si>
    <t xml:space="preserve">    {"type":"Feature","id":"25","properties":{"name":"Massachusetts","housevalue":401500},"geometry":{"type":"Polygon","coordinates":[[[-70.917521,42.887974],[-70.818936,42.871543],[-70.780598,42.696281],[-70.824413,42.55388],[-70.983245,42.422434],[-70.988722,42.269079],[-70.769644,42.247172],[-70.638197,42.08834],[-70.660105,41.962371],[-70.550566,41.929509],[-70.539613,41.814493],[-70.260289,41.715908],[-69.937149,41.809016],[-70.008349,41.672093],[-70.484843,41.5516],[-70.660105,41.546123],[-70.764167,41.639231],[-70.928475,41.611847],[-70.933952,41.540646],[-71.120168,41.496831],[-71.196845,41.67757],[-71.22423,41.710431],[-71.328292,41.781632],[-71.383061,42.01714],[-71.530939,42.01714],[-71.799309,42.006186],[-71.799309,42.022617],[-73.053528,42.039048],[-73.486206,42.050002],[-73.508114,42.08834],[-73.267129,42.745573],[-72.456542,42.729142],[-71.29543,42.696281],[-71.185891,42.789389],[-70.917521,42.887974]]]}},</t>
  </si>
  <si>
    <t xml:space="preserve">    {"type":"Feature","id":"26","properties":{"name":"Michigan","housevalue":146600},"geometry":{"type":"MultiPolygon","coordinates":[[[[-83.454238,41.732339],[-84.807042,41.694001],[-84.807042,41.759724],[-85.990061,41.759724],[-86.822556,41.759724],[-86.619909,41.891171],[-86.482986,42.115725],[-86.357016,42.252649],[-86.263908,42.444341],[-86.209139,42.718189],[-86.231047,43.013943],[-86.526801,43.594499],[-86.433693,43.813577],[-86.499417,44.07647],[-86.269385,44.34484],[-86.220093,44.569394],[-86.252954,44.689887],[-86.088646,44.73918],[-86.066738,44.903488],[-85.809322,44.947303],[-85.612152,45.128042],[-85.628583,44.766564],[-85.524521,44.750133],[-85.393075,44.930872],[-85.387598,45.237581],[-85.305444,45.314258],[-85.031597,45.363551],[-85.119228,45.577151],[-84.938489,45.75789],[-84.713934,45.768844],[-84.461995,45.653829],[-84.215533,45.637398],[-84.09504,45.494997],[-83.908824,45.484043],[-83.596638,45.352597],[-83.4871,45.358074],[-83.317314,45.144473],[-83.454238,45.029457],[-83.322791,44.88158],[-83.273499,44.711795],[-83.333745,44.339363],[-83.536392,44.246255],[-83.585684,44.054562],[-83.82667,43.988839],[-83.958116,43.758807],[-83.908824,43.671176],[-83.667839,43.589022],[-83.481623,43.714992],[-83.262545,43.972408],[-82.917498,44.070993],[-82.747713,43.994316],[-82.643651,43.851915],[-82.539589,43.435668],[-82.523158,43.227544],[-82.413619,42.975605],[-82.517681,42.614127],[-82.681989,42.559357],[-82.687466,42.690804],[-82.797005,42.652465],[-82.922975,42.351234],[-83.125621,42.236218],[-83.185868,42.006186],[-83.437807,41.814493],[-83.454238,41.732339]]],[[[-85.508091,45.730506],[-85.49166,45.610013],[-85.623106,45.588105],[-85.568337,45.75789],[-85.508091,45.730506]]],[[[-87.589328,45.095181],[-87.742682,45.199243],[-87.649574,45.341643],[-87.885083,45.363551],[-87.791975,45.500474],[-87.781021,45.675736],[-87.989145,45.796229],[-88.10416,45.922199],[-88.531362,46.020784],[-88.662808,45.987922],[-89.09001,46.135799],[-90.119674,46.338446],[-90.229213,46.508231],[-90.415429,46.568478],[-90.026566,46.672539],[-89.851304,46.793032],[-89.413149,46.842325],[-89.128348,46.990202],[-88.996902,46.995679],[-88.887363,47.099741],[-88.575177,47.247618],[-88.416346,47.373588],[-88.180837,47.455742],[-87.956283,47.384542],[-88.350623,47.077833],[-88.443731,46.973771],[-88.438254,46.787555],[-88.246561,46.929956],[-87.901513,46.908048],[-87.633143,46.809463],[-87.392158,46.535616],[-87.260711,46.486323],[-87.008772,46.530139],[-86.948526,46.469893],[-86.696587,46.437031],[-86.159846,46.667063],[-85.880522,46.68897],[-85.508091,46.678016],[-85.256151,46.754694],[-85.064458,46.760171],[-85.02612,46.480847],[-84.82895,46.442508],[-84.63178,46.486323],[-84.549626,46.4206],[-84.418179,46.502754],[-84.127902,46.530139],[-84.122425,46.179615],[-83.990978,46.031737],[-83.793808,45.993399],[-83.7719,46.091984],[-83.580208,46.091984],[-83.476146,45.987922],[-83.563777,45.911245],[-84.111471,45.976968],[-84.374364,45.933153],[-84.659165,46.053645],[-84.741319,45.944106],[-84.70298,45.850998],[-84.82895,45.872906],[-85.015166,46.00983],[-85.338305,46.091984],[-85.502614,46.097461],[-85.661445,45.966014],[-85.924338,45.933153],[-86.209139,45.960537],[-86.324155,45.905768],[-86.351539,45.796229],[-86.663725,45.703121],[-86.647294,45.834568],[-86.784218,45.861952],[-86.838987,45.725029],[-87.069019,45.719552],[-87.17308,45.659305],[-87.326435,45.423797],[-87.611236,45.122565],[-87.589328,45.095181]]],[[[-88.805209,47.976051],[-89.057148,47.850082],[-89.188594,47.833651],[-89.177641,47.937713],[-88.547792,48.173221],[-88.668285,48.008913],[-88.805209,47.976051]]]]}},</t>
  </si>
  <si>
    <t xml:space="preserve">    {"type":"Feature","id":"27","properties":{"name":"Minnesota","housevalue":229200},"geometry":{"type":"Polygon","coordinates":[[[-92.014696,46.705401],[-92.091373,46.749217],[-92.29402,46.667063],[-92.29402,46.075553],[-92.354266,46.015307],[-92.639067,45.933153],[-92.869098,45.719552],[-92.885529,45.577151],[-92.770513,45.566198],[-92.644544,45.440228],[-92.75956,45.286874],[-92.737652,45.117088],[-92.808852,44.750133],[-92.545959,44.569394],[-92.337835,44.552964],[-92.233773,44.443425],[-91.927065,44.333886],[-91.877772,44.202439],[-91.592971,44.032654],[-91.43414,43.994316],[-91.242447,43.775238],[-91.269832,43.616407],[-91.215062,43.501391],[-91.368417,43.501391],[-96.451017,43.501391],[-96.451017,45.297827],[-96.681049,45.412843],[-96.856311,45.604536],[-96.582464,45.818137],[-96.560556,45.933153],[-96.598895,46.332969],[-96.719387,46.437031],[-96.801542,46.656109],[-96.785111,46.924479],[-96.823449,46.968294],[-96.856311,47.609096],[-97.053481,47.948667],[-97.130158,48.140359],[-97.16302,48.545653],[-97.097296,48.682577],[-97.228743,49.000239],[-95.152983,49.000239],[-95.152983,49.383625],[-94.955813,49.372671],[-94.824366,49.295994],[-94.69292,48.775685],[-94.588858,48.715438],[-94.260241,48.699007],[-94.221903,48.649715],[-93.838517,48.627807],[-93.794701,48.518268],[-93.466085,48.545653],[-93.466085,48.589469],[-93.208669,48.644238],[-92.984114,48.62233],[-92.726698,48.540176],[-92.655498,48.436114],[-92.50762,48.447068],[-92.370697,48.222514],[-92.304974,48.315622],[-92.053034,48.359437],[-92.009219,48.266329],[-91.713464,48.200606],[-91.713464,48.112975],[-91.565587,48.041775],[-91.264355,48.080113],[-91.083616,48.178698],[-90.837154,48.238944],[-90.749522,48.091067],[-90.579737,48.123929],[-90.377091,48.091067],[-90.141582,48.112975],[-89.873212,47.987005],[-89.615796,48.008913],[-89.637704,47.954144],[-89.971797,47.828174],[-90.437337,47.729589],[-90.738569,47.625527],[-91.171247,47.368111],[-91.357463,47.20928],[-91.642264,47.028541],[-92.091373,46.787555],[-92.014696,46.705401]]]}},</t>
  </si>
  <si>
    <t xml:space="preserve">    {"type":"Feature","id":"28","properties":{"name":"Mississippi","housevalue":123200},"geometry":{"type":"Polygon","coordinates":[[[-88.471115,34.995703],[-88.202745,34.995703],[-88.098683,34.891641],[-88.241084,33.796253],[-88.471115,31.895754],[-88.394438,30.367688],[-88.503977,30.323872],[-88.744962,30.34578],[-88.843547,30.411504],[-89.084533,30.367688],[-89.418626,30.252672],[-89.522688,30.181472],[-89.643181,30.285534],[-89.681519,30.449842],[-89.845827,30.66892],[-89.747242,30.997536],[-91.636787,30.997536],[-91.565587,31.068736],[-91.636787,31.265906],[-91.516294,31.27686],[-91.499863,31.643815],[-91.401278,31.621907],[-91.341032,31.846462],[-91.105524,31.988862],[-90.985031,32.218894],[-91.006939,32.514649],[-91.154816,32.640618],[-91.143862,32.843265],[-91.072662,32.887081],[-91.16577,33.002096],[-91.089093,33.13902],[-91.143862,33.347144],[-91.056231,33.429298],[-91.231493,33.560744],[-91.072662,33.867453],[-90.891923,34.026284],[-90.952169,34.135823],[-90.744046,34.300131],[-90.749522,34.365854],[-90.568783,34.420624],[-90.585214,34.617794],[-90.481152,34.661609],[-90.409952,34.831394],[-90.251121,34.908072],[-90.311367,34.995703],[-88.471115,34.995703]]]}},</t>
  </si>
  <si>
    <t xml:space="preserve">    {"type":"Feature","id":"29","properties":{"name":"Missouri","housevalue":155700},"geometry":{"type":"Polygon","coordinates":[[[-91.833957,40.609566],[-91.729895,40.615043],[-91.527248,40.412397],[-91.417709,40.379535],[-91.50534,40.237135],[-91.494386,40.034488],[-91.368417,39.727779],[-91.061708,39.470363],[-90.727615,39.256762],[-90.661891,38.928146],[-90.585214,38.867899],[-90.470199,38.961007],[-90.251121,38.917192],[-90.10872,38.845992],[-90.207305,38.725499],[-90.179921,38.632391],[-90.349706,38.374975],[-90.355183,38.216144],[-90.059428,38.013497],[-89.949889,37.88205],[-89.84035,37.903958],[-89.517211,37.690357],[-89.517211,37.537003],[-89.435057,37.34531],[-89.517211,37.279587],[-89.292656,36.994786],[-89.133825,36.983832],[-89.215979,36.578538],[-89.363857,36.622354],[-89.418626,36.496384],[-89.484349,36.496384],[-89.539119,36.496384],[-89.533642,36.249922],[-89.730812,35.997983],[-90.377091,35.997983],[-90.218259,36.184199],[-90.064905,36.304691],[-90.152536,36.496384],[-94.473842,36.501861],[-94.616242,36.501861],[-94.616242,37.000263],[-94.610765,39.158177],[-94.824366,39.20747],[-94.983197,39.442978],[-95.109167,39.541563],[-94.884612,39.831841],[-95.207752,39.908518],[-95.306337,40.001626],[-95.552799,40.264519],[-95.7664,40.587659],[-94.632673,40.571228],[-93.257961,40.582182],[-91.833957,40.609566]]]}},</t>
  </si>
  <si>
    <t xml:space="preserve">    {"type":"Feature","id":"30","properties":{"name":"Montana","housevalue":227500},"geometry":{"type":"Polygon","coordinates":[[[-104.047534,49.000239],[-104.042057,47.861036],[-104.047534,45.944106],[-104.042057,44.996596],[-104.058488,44.996596],[-105.91517,45.002073],[-109.080842,45.002073],[-111.05254,45.002073],[-111.047063,44.476286],[-111.227803,44.580348],[-111.386634,44.75561],[-111.616665,44.547487],[-111.819312,44.509148],[-111.868605,44.563917],[-112.104113,44.520102],[-112.241036,44.569394],[-112.471068,44.481763],[-112.783254,44.48724],[-112.887315,44.394132],[-113.002331,44.448902],[-113.133778,44.772041],[-113.341901,44.782995],[-113.456917,44.865149],[-113.45144,45.056842],[-113.571933,45.128042],[-113.736241,45.330689],[-113.834826,45.522382],[-113.807441,45.604536],[-113.98818,45.703121],[-114.086765,45.593582],[-114.333228,45.456659],[-114.546828,45.560721],[-114.497536,45.670259],[-114.568736,45.774321],[-114.387997,45.88386],[-114.492059,46.037214],[-114.464674,46.272723],[-114.322274,46.645155],[-114.612552,46.639678],[-114.623506,46.705401],[-114.886399,46.809463],[-114.930214,46.919002],[-115.302646,47.187372],[-115.324554,47.258572],[-115.527201,47.302388],[-115.718894,47.42288],[-115.724371,47.696727],[-116.04751,47.976051],[-116.04751,49.000239],[-111.50165,48.994762],[-109.453274,49.000239],[-104.047534,49.000239]]]}},</t>
  </si>
  <si>
    <t xml:space="preserve">    {"type":"Feature","id":"31","properties":{"name":"Nebraska","housevalue":161200},"geometry":{"type":"Polygon","coordinates":[[[-103.324578,43.002989],[-101.626726,42.997512],[-98.499393,42.997512],[-98.466531,42.94822],[-97.951699,42.767481],[-97.831206,42.866066],[-97.688806,42.844158],[-97.217789,42.844158],[-96.692003,42.657942],[-96.626279,42.515542],[-96.44554,42.488157],[-96.264801,42.039048],[-96.127878,41.973325],[-96.062155,41.798063],[-96.122401,41.67757],[-96.095016,41.540646],[-95.919754,41.453015],[-95.925231,41.201076],[-95.826646,40.976521],[-95.881416,40.719105],[-95.7664,40.587659],[-95.552799,40.264519],[-95.306337,40.001626],[-101.90605,40.001626],[-102.053927,40.001626],[-102.053927,41.003906],[-104.053011,41.003906],[-104.053011,43.002989],[-103.324578,43.002989]]]}},</t>
  </si>
  <si>
    <t xml:space="preserve">    {"type":"Feature","id":"32","properties":{"name":"Nevada","housevalue":284300},"geometry":{"type":"Polygon","coordinates":[[[-117.027882,42.000709],[-114.04295,41.995232],[-114.048427,37.000263],[-114.048427,36.195153],[-114.152489,36.025367],[-114.251074,36.01989],[-114.371566,36.140383],[-114.738521,36.102045],[-114.678275,35.516012],[-114.596121,35.324319],[-114.574213,35.138103],[-114.634459,35.00118],[-115.85034,35.970598],[-116.540435,36.501861],[-117.498899,37.21934],[-118.71478,38.101128],[-120.001861,38.999346],[-119.996384,40.264519],[-120.001861,41.995232],[-118.698349,41.989755],[-117.027882,42.000709]]]}},</t>
  </si>
  <si>
    <t xml:space="preserve">    {"type":"Feature","id":"33","properties":{"name":"New Hampshire","housevalue":270200},"geometry":{"type":"Polygon","coordinates":[[[-71.08183,45.303304],[-71.032537,44.657025],[-70.966814,43.34256],[-70.807983,43.227544],[-70.824413,43.128959],[-70.703921,43.057759],[-70.818936,42.871543],[-70.917521,42.887974],[-71.185891,42.789389],[-71.29543,42.696281],[-72.456542,42.729142],[-72.544173,42.80582],[-72.533219,42.953697],[-72.445588,43.008466],[-72.456542,43.150867],[-72.379864,43.572591],[-72.204602,43.769761],[-72.116971,43.994316],[-72.02934,44.07647],[-72.034817,44.322932],[-71.700724,44.41604],[-71.536416,44.585825],[-71.629524,44.750133],[-71.4926,44.914442],[-71.503554,45.013027],[-71.361154,45.270443],[-71.131122,45.243058],[-71.08183,45.303304]]]}},</t>
  </si>
  <si>
    <t xml:space="preserve">    {"type":"Feature","id":"34","properties":{"name":"New Jersey","housevalue":321200},"geometry":{"type":"Polygon","coordinates":[[[-74.236547,41.14083],[-73.902454,40.998429],[-74.022947,40.708151],[-74.187255,40.642428],[-74.274886,40.489074],[-74.001039,40.412397],[-73.979131,40.297381],[-74.099624,39.760641],[-74.411809,39.360824],[-74.614456,39.245808],[-74.795195,38.993869],[-74.888303,39.158177],[-75.178581,39.240331],[-75.534582,39.459409],[-75.55649,39.607286],[-75.561967,39.629194],[-75.507197,39.683964],[-75.414089,39.804456],[-75.145719,39.88661],[-75.129289,39.963288],[-74.82258,40.127596],[-74.773287,40.215227],[-75.058088,40.417874],[-75.069042,40.543843],[-75.195012,40.576705],[-75.205966,40.691721],[-75.052611,40.866983],[-75.134765,40.971045],[-74.882826,41.179168],[-74.828057,41.288707],[-74.69661,41.359907],[-74.236547,41.14083]]]}},</t>
  </si>
  <si>
    <t xml:space="preserve">    {"type":"Feature","id":"35","properties":{"name":"New Mexico","housevalue":190100},"geometry":{"type":"Polygon","coordinates":[[[-107.421329,37.000263],[-106.868158,36.994786],[-104.337812,36.994786],[-103.001438,37.000263],[-103.001438,36.501861],[-103.039777,36.501861],[-103.045254,34.01533],[-103.067161,33.002096],[-103.067161,31.999816],[-106.616219,31.999816],[-106.643603,31.901231],[-106.528588,31.786216],[-108.210008,31.786216],[-108.210008,31.331629],[-109.04798,31.331629],[-109.042503,37.000263],[-107.421329,37.000263]]]}},</t>
  </si>
  <si>
    <t xml:space="preserve">    {"type":"Feature","id":"36","properties":{"name":"New York","housevalue":283800},"geometry":{"type":"Polygon","coordinates":[[[-73.343806,45.013027],[-73.332852,44.804903],[-73.387622,44.618687],[-73.294514,44.437948],[-73.321898,44.246255],[-73.436914,44.043608],[-73.349283,43.769761],[-73.404052,43.687607],[-73.245221,43.523299],[-73.278083,42.833204],[-73.267129,42.745573],[-73.508114,42.08834],[-73.486206,42.050002],[-73.55193,41.294184],[-73.48073,41.21203],[-73.727192,41.102491],[-73.655992,40.987475],[-73.22879,40.905321],[-73.141159,40.965568],[-72.774204,40.965568],[-72.587988,40.998429],[-72.28128,41.157261],[-72.259372,41.042245],[-72.100541,40.992952],[-72.467496,40.845075],[-73.239744,40.625997],[-73.562884,40.582182],[-73.776484,40.593136],[-73.935316,40.543843],[-74.022947,40.708151],[-73.902454,40.998429],[-74.236547,41.14083],[-74.69661,41.359907],[-74.740426,41.431108],[-74.89378,41.436584],[-75.074519,41.60637],[-75.052611,41.754247],[-75.173104,41.869263],[-75.249781,41.863786],[-75.35932,42.000709],[-79.76278,42.000709],[-79.76278,42.252649],[-79.76278,42.269079],[-79.149363,42.55388],[-79.050778,42.690804],[-78.853608,42.783912],[-78.930285,42.953697],[-79.012439,42.986559],[-79.072686,43.260406],[-78.486653,43.375421],[-77.966344,43.369944],[-77.75822,43.34256],[-77.533665,43.233021],[-77.391265,43.276836],[-76.958587,43.271359],[-76.695693,43.34256],[-76.41637,43.523299],[-76.235631,43.528776],[-76.230154,43.802623],[-76.137046,43.961454],[-76.3616,44.070993],[-76.312308,44.196962],[-75.912491,44.366748],[-75.764614,44.514625],[-75.282643,44.848718],[-74.828057,45.018503],[-74.148916,44.991119],[-73.343806,45.013027]]]}},</t>
  </si>
  <si>
    <t xml:space="preserve">    {"type":"Feature","id":"37","properties":{"name":"North Carolina","housevalue":177400},"geometry":{"type":"Polygon","coordinates":[[[-80.978661,36.562108],[-80.294043,36.545677],[-79.510841,36.5402],[-75.868676,36.551154],[-75.75366,36.151337],[-76.032984,36.189676],[-76.071322,36.140383],[-76.410893,36.080137],[-76.460185,36.025367],[-76.68474,36.008937],[-76.673786,35.937736],[-76.399939,35.987029],[-76.3616,35.943213],[-76.060368,35.992506],[-75.961783,35.899398],[-75.781044,35.937736],[-75.715321,35.696751],[-75.775568,35.581735],[-75.89606,35.570781],[-76.147999,35.324319],[-76.482093,35.313365],[-76.536862,35.14358],[-76.394462,34.973795],[-76.279446,34.940933],[-76.493047,34.661609],[-76.673786,34.694471],[-76.991448,34.667086],[-77.210526,34.60684],[-77.555573,34.415147],[-77.82942,34.163208],[-77.971821,33.845545],[-78.179944,33.916745],[-78.541422,33.851022],[-79.675149,34.80401],[-80.797922,34.820441],[-80.781491,34.935456],[-80.934845,35.105241],[-81.038907,35.044995],[-81.044384,35.149057],[-82.276696,35.198349],[-82.550543,35.160011],[-82.764143,35.066903],[-83.109191,35.00118],[-83.618546,34.984749],[-84.319594,34.990226],[-84.29221,35.225734],[-84.09504,35.247642],[-84.018363,35.41195],[-83.7719,35.559827],[-83.498053,35.565304],[-83.251591,35.718659],[-82.994175,35.773428],[-82.775097,35.997983],[-82.638174,36.063706],[-82.610789,35.965121],[-82.216449,36.156814],[-82.03571,36.118475],[-81.909741,36.304691],[-81.723525,36.353984],[-81.679709,36.589492],[-80.978661,36.562108]]]}},</t>
  </si>
  <si>
    <t xml:space="preserve">    {"type":"Feature","id":"38","properties":{"name":"North Dakota","housevalue":203300},"geometry":{"type":"Polygon","coordinates":[[[-97.228743,49.000239],[-97.097296,48.682577],[-97.16302,48.545653],[-97.130158,48.140359],[-97.053481,47.948667],[-96.856311,47.609096],[-96.823449,46.968294],[-96.785111,46.924479],[-96.801542,46.656109],[-96.719387,46.437031],[-96.598895,46.332969],[-96.560556,45.933153],[-104.047534,45.944106],[-104.042057,47.861036],[-104.047534,49.000239],[-97.228743,49.000239]]]}},</t>
  </si>
  <si>
    <t xml:space="preserve">    {"type":"Feature","id":"39","properties":{"name":"Ohio","housevalue":135800},"geometry":{"type":"Polygon","coordinates":[[[-80.518598,41.978802],[-80.518598,40.636951],[-80.666475,40.582182],[-80.595275,40.472643],[-80.600752,40.319289],[-80.737675,40.078303],[-80.830783,39.711348],[-81.219646,39.388209],[-81.345616,39.344393],[-81.455155,39.410117],[-81.57017,39.267716],[-81.685186,39.273193],[-81.811156,39.0815],[-81.783771,38.966484],[-81.887833,38.873376],[-82.03571,39.026731],[-82.221926,38.785745],[-82.172634,38.632391],[-82.293127,38.577622],[-82.331465,38.446175],[-82.594358,38.424267],[-82.731282,38.561191],[-82.846298,38.588575],[-82.890113,38.758361],[-83.032514,38.725499],[-83.142052,38.626914],[-83.519961,38.703591],[-83.678792,38.632391],[-83.903347,38.769315],[-84.215533,38.807653],[-84.231963,38.895284],[-84.43461,39.103408],[-84.817996,39.103408],[-84.801565,40.500028],[-84.807042,41.694001],[-83.454238,41.732339],[-83.065375,41.595416],[-82.933929,41.513262],[-82.835344,41.589939],[-82.616266,41.431108],[-82.479343,41.381815],[-82.013803,41.513262],[-81.739956,41.485877],[-81.444201,41.672093],[-81.011523,41.852832],[-80.518598,41.978802],[-80.518598,41.978802]]]}},</t>
  </si>
  <si>
    <t xml:space="preserve">    {"type":"Feature","id":"40","properties":{"name":"Oklahoma","housevalue":120600},"geometry":{"type":"Polygon","coordinates":[[[-100.087706,37.000263],[-94.616242,37.000263],[-94.616242,36.501861],[-94.430026,35.395519],[-94.484796,33.637421],[-94.868182,33.74696],[-94.966767,33.861976],[-95.224183,33.960561],[-95.289906,33.87293],[-95.547322,33.878407],[-95.602092,33.933176],[-95.8376,33.834591],[-95.936185,33.889361],[-96.149786,33.840068],[-96.346956,33.686714],[-96.423633,33.774345],[-96.631756,33.845545],[-96.850834,33.845545],[-96.922034,33.960561],[-97.173974,33.736006],[-97.256128,33.861976],[-97.371143,33.823637],[-97.458774,33.905791],[-97.694283,33.982469],[-97.869545,33.851022],[-97.946222,33.987946],[-98.088623,34.004376],[-98.170777,34.113915],[-98.36247,34.157731],[-98.488439,34.064623],[-98.570593,34.146777],[-98.767763,34.135823],[-98.986841,34.223454],[-99.189488,34.2125],[-99.260688,34.404193],[-99.57835,34.415147],[-99.698843,34.382285],[-99.923398,34.573978],[-100.000075,34.563024],[-100.000075,36.501861],[-101.812942,36.501861],[-103.001438,36.501861],[-103.001438,37.000263],[-102.042974,36.994786],[-100.087706,37.000263]]]}},</t>
  </si>
  <si>
    <t xml:space="preserve">    {"type":"Feature","id":"41","properties":{"name":"Oregon","housevalue":338300},"geometry":{"type":"Polygon","coordinates":[[[-123.211348,46.174138],[-123.11824,46.185092],[-122.904639,46.08103],[-122.811531,45.960537],[-122.762239,45.659305],[-122.247407,45.549767],[-121.809251,45.708598],[-121.535404,45.725029],[-121.217742,45.670259],[-121.18488,45.604536],[-120.637186,45.746937],[-120.505739,45.697644],[-120.209985,45.725029],[-119.963522,45.823614],[-119.525367,45.911245],[-119.125551,45.933153],[-118.988627,45.998876],[-116.918344,45.993399],[-116.78142,45.823614],[-116.545912,45.752413],[-116.463758,45.61549],[-116.671881,45.319735],[-116.732128,45.144473],[-116.847143,45.02398],[-116.830713,44.930872],[-116.934774,44.782995],[-117.038836,44.750133],[-117.241483,44.394132],[-117.170283,44.257209],[-116.97859,44.240778],[-116.896436,44.158624],[-117.027882,43.830007],[-117.027882,42.000709],[-118.698349,41.989755],[-120.001861,41.995232],[-121.037003,41.995232],[-122.378853,42.011663],[-123.233256,42.006186],[-124.213628,42.000709],[-124.356029,42.115725],[-124.432706,42.438865],[-124.416275,42.663419],[-124.553198,42.838681],[-124.454613,43.002989],[-124.383413,43.271359],[-124.235536,43.55616],[-124.169813,43.8081],[-124.060274,44.657025],[-124.076705,44.772041],[-123.97812,45.144473],[-123.939781,45.659305],[-123.994551,45.944106],[-123.945258,46.113892],[-123.545441,46.261769],[-123.370179,46.146753],[-123.211348,46.174138]]]}},</t>
  </si>
  <si>
    <t xml:space="preserve">    {"type":"Feature","id":"42","properties":{"name":"Pennsylvania","housevalue":170500},"geometry":{"type":"Polygon","coordinates":[[[-79.76278,42.252649],[-79.76278,42.000709],[-75.35932,42.000709],[-75.249781,41.863786],[-75.173104,41.869263],[-75.052611,41.754247],[-75.074519,41.60637],[-74.89378,41.436584],[-74.740426,41.431108],[-74.69661,41.359907],[-74.828057,41.288707],[-74.882826,41.179168],[-75.134765,40.971045],[-75.052611,40.866983],[-75.205966,40.691721],[-75.195012,40.576705],[-75.069042,40.543843],[-75.058088,40.417874],[-74.773287,40.215227],[-74.82258,40.127596],[-75.129289,39.963288],[-75.145719,39.88661],[-75.414089,39.804456],[-75.616736,39.831841],[-75.786521,39.722302],[-79.477979,39.722302],[-80.518598,39.722302],[-80.518598,40.636951],[-80.518598,41.978802],[-80.518598,41.978802],[-80.332382,42.033571],[-79.76278,42.269079],[-79.76278,42.252649]]]}},</t>
  </si>
  <si>
    <t xml:space="preserve">    {"type":"Feature","id":"44","properties":{"name":"Rhode Island","housevalue":276000},"geometry":{"type":"MultiPolygon","coordinates":[[[[-71.196845,41.67757],[-71.120168,41.496831],[-71.317338,41.474923],[-71.196845,41.67757]]],[[[-71.530939,42.01714],[-71.383061,42.01714],[-71.328292,41.781632],[-71.22423,41.710431],[-71.344723,41.726862],[-71.448785,41.578985],[-71.481646,41.370861],[-71.859555,41.321569],[-71.799309,41.414677],[-71.799309,42.006186],[-71.530939,42.01714]]]]}},</t>
  </si>
  <si>
    <t xml:space="preserve">    {"type":"Feature","id":"45","properties":{"name":"South Carolina","housevalue":161800},"geometry":{"type":"Polygon","coordinates":[[[-82.764143,35.066903],[-82.550543,35.160011],[-82.276696,35.198349],[-81.044384,35.149057],[-81.038907,35.044995],[-80.934845,35.105241],[-80.781491,34.935456],[-80.797922,34.820441],[-79.675149,34.80401],[-78.541422,33.851022],[-78.716684,33.80173],[-78.935762,33.637421],[-79.149363,33.380005],[-79.187701,33.171881],[-79.357487,33.007573],[-79.582041,33.007573],[-79.631334,32.887081],[-79.866842,32.755634],[-79.998289,32.613234],[-80.206412,32.552987],[-80.430967,32.399633],[-80.452875,32.328433],[-80.660998,32.246279],[-80.885553,32.032678],[-81.115584,32.120309],[-81.121061,32.290094],[-81.279893,32.558464],[-81.416816,32.629664],[-81.42777,32.843265],[-81.493493,33.007573],[-81.761863,33.160928],[-81.937125,33.347144],[-81.926172,33.462159],[-82.194542,33.631944],[-82.325988,33.81816],[-82.55602,33.94413],[-82.714851,34.152254],[-82.747713,34.26727],[-82.901067,34.486347],[-83.005129,34.469916],[-83.339222,34.683517],[-83.322791,34.787579],[-83.109191,35.00118],[-82.764143,35.066903]]]}},</t>
  </si>
  <si>
    <t xml:space="preserve">    {"type":"Feature","id":"46","properties":{"name":"South Dakota","housevalue":183200},"geometry":{"type":"Polygon","coordinates":[[[-104.047534,45.944106],[-96.560556,45.933153],[-96.582464,45.818137],[-96.856311,45.604536],[-96.681049,45.412843],[-96.451017,45.297827],[-96.451017,43.501391],[-96.582464,43.479483],[-96.527695,43.397329],[-96.560556,43.222067],[-96.434587,43.123482],[-96.511264,43.052282],[-96.544125,42.855112],[-96.631756,42.707235],[-96.44554,42.488157],[-96.626279,42.515542],[-96.692003,42.657942],[-97.217789,42.844158],[-97.688806,42.844158],[-97.831206,42.866066],[-97.951699,42.767481],[-98.466531,42.94822],[-98.499393,42.997512],[-101.626726,42.997512],[-103.324578,43.002989],[-104.053011,43.002989],[-104.058488,44.996596],[-104.042057,44.996596],[-104.047534,45.944106]]]}},</t>
  </si>
  <si>
    <t xml:space="preserve">    {"type":"Feature","id":"47","properties":{"name":"Tennessee","housevalue":162000},"geometry":{"type":"Polygon","coordinates":[[[-88.054868,36.496384],[-88.071299,36.677123],[-87.852221,36.633308],[-86.592525,36.655216],[-85.486183,36.616877],[-85.289013,36.627831],[-84.544149,36.594969],[-83.689746,36.584015],[-83.673316,36.600446],[-81.679709,36.589492],[-81.723525,36.353984],[-81.909741,36.304691],[-82.03571,36.118475],[-82.216449,36.156814],[-82.610789,35.965121],[-82.638174,36.063706],[-82.775097,35.997983],[-82.994175,35.773428],[-83.251591,35.718659],[-83.498053,35.565304],[-83.7719,35.559827],[-84.018363,35.41195],[-84.09504,35.247642],[-84.29221,35.225734],[-84.319594,34.990226],[-85.606675,34.984749],[-87.359296,35.00118],[-88.202745,34.995703],[-88.471115,34.995703],[-90.311367,34.995703],[-90.212782,35.023087],[-90.114197,35.198349],[-90.130628,35.439335],[-89.944412,35.603643],[-89.911551,35.756997],[-89.763673,35.811767],[-89.730812,35.997983],[-89.533642,36.249922],[-89.539119,36.496384],[-89.484349,36.496384],[-89.418626,36.496384],[-89.298133,36.507338],[-88.054868,36.496384]]]}},</t>
  </si>
  <si>
    <t xml:space="preserve">    {"type":"Feature","id":"48","properties":{"name":"Texas","housevalue":188700},"geometry":{"type":"Polygon","coordinates":[[[-101.812942,36.501861],[-100.000075,36.501861],[-100.000075,34.563024],[-99.923398,34.573978],[-99.698843,34.382285],[-99.57835,34.415147],[-99.260688,34.404193],[-99.189488,34.2125],[-98.986841,34.223454],[-98.767763,34.135823],[-98.570593,34.146777],[-98.488439,34.064623],[-98.36247,34.157731],[-98.170777,34.113915],[-98.088623,34.004376],[-97.946222,33.987946],[-97.869545,33.851022],[-97.694283,33.982469],[-97.458774,33.905791],[-97.371143,33.823637],[-97.256128,33.861976],[-97.173974,33.736006],[-96.922034,33.960561],[-96.850834,33.845545],[-96.631756,33.845545],[-96.423633,33.774345],[-96.346956,33.686714],[-96.149786,33.840068],[-95.936185,33.889361],[-95.8376,33.834591],[-95.602092,33.933176],[-95.547322,33.878407],[-95.289906,33.87293],[-95.224183,33.960561],[-94.966767,33.861976],[-94.868182,33.74696],[-94.484796,33.637421],[-94.380734,33.544313],[-94.183564,33.593606],[-94.041164,33.54979],[-94.041164,33.018527],[-94.041164,31.994339],[-93.822086,31.775262],[-93.816609,31.556184],[-93.542762,31.15089],[-93.526331,30.93729],[-93.630393,30.679874],[-93.728978,30.575812],[-93.696116,30.438888],[-93.767317,30.334826],[-93.690639,30.143133],[-93.926148,29.787132],[-93.838517,29.688547],[-94.002825,29.68307],[-94.523134,29.546147],[-94.70935,29.622824],[-94.742212,29.787132],[-94.873659,29.672117],[-94.966767,29.699501],[-95.016059,29.557101],[-94.911997,29.496854],[-94.895566,29.310638],[-95.081782,29.113469],[-95.383014,28.867006],[-95.985477,28.604113],[-96.045724,28.647929],[-96.226463,28.582205],[-96.23194,28.642452],[-96.478402,28.598636],[-96.593418,28.724606],[-96.664618,28.697221],[-96.401725,28.439805],[-96.593418,28.357651],[-96.774157,28.406943],[-96.801542,28.226204],[-97.026096,28.039988],[-97.256128,27.694941],[-97.404005,27.333463],[-97.513544,27.360848],[-97.540929,27.229401],[-97.425913,27.262263],[-97.480682,26.99937],[-97.557359,26.988416],[-97.562836,26.840538],[-97.469728,26.758384],[-97.442344,26.457153],[-97.332805,26.353091],[-97.30542,26.161398],[-97.217789,25.991613],[-97.524498,25.887551],[-97.650467,26.018997],[-97.885976,26.06829],[-98.198161,26.057336],[-98.466531,26.221644],[-98.669178,26.238075],[-98.822533,26.369522],[-99.030656,26.413337],[-99.173057,26.539307],[-99.266165,26.840538],[-99.446904,27.021277],[-99.424996,27.174632],[-99.50715,27.33894],[-99.479765,27.48134],[-99.605735,27.640172],[-99.709797,27.656603],[-99.879582,27.799003],[-99.934351,27.979742],[-100.082229,28.14405],[-100.29583,28.280974],[-100.399891,28.582205],[-100.498476,28.66436],[-100.629923,28.905345],[-100.673738,29.102515],[-100.799708,29.244915],[-101.013309,29.370885],[-101.062601,29.458516],[-101.259771,29.535193],[-101.413125,29.754271],[-101.851281,29.803563],[-102.114174,29.792609],[-102.338728,29.869286],[-102.388021,29.765225],[-102.629006,29.732363],[-102.809745,29.524239],[-102.919284,29.190146],[-102.97953,29.184669],[-103.116454,28.987499],[-103.280762,28.982022],[-103.527224,29.135376],[-104.146119,29.381839],[-104.266611,29.513285],[-104.507597,29.639255],[-104.677382,29.924056],[-104.688336,30.181472],[-104.858121,30.389596],[-104.896459,30.570335],[-105.005998,30.685351],[-105.394861,30.855136],[-105.602985,31.085167],[-105.77277,31.167321],[-105.953509,31.364491],[-106.205448,31.468553],[-106.38071,31.731446],[-106.528588,31.786216],[-106.643603,31.901231],[-106.616219,31.999816],[-103.067161,31.999816],[-103.067161,33.002096],[-103.045254,34.01533],[-103.039777,36.501861],[-103.001438,36.501861],[-101.812942,36.501861]]]}},</t>
  </si>
  <si>
    <t xml:space="preserve">    {"type":"Feature","id":"49","properties":{"name":"Utah","housevalue":320900},"geometry":{"type":"Polygon","coordinates":[[[-112.164359,41.995232],[-111.047063,42.000709],[-111.047063,40.998429],[-109.04798,40.998429],[-109.053457,39.125316],[-109.058934,38.27639],[-109.042503,38.166851],[-109.042503,37.000263],[-110.499369,37.00574],[-114.048427,37.000263],[-114.04295,41.995232],[-112.164359,41.995232]]]}},</t>
  </si>
  <si>
    <t xml:space="preserve">    {"type":"Feature","id":"50","properties":{"name":"Vermont","housevalue":200000},"geometry":{"type":"Polygon","coordinates":[[[-71.503554,45.013027],[-71.4926,44.914442],[-71.629524,44.750133],[-71.536416,44.585825],[-71.700724,44.41604],[-72.034817,44.322932],[-72.02934,44.07647],[-72.116971,43.994316],[-72.204602,43.769761],[-72.379864,43.572591],[-72.456542,43.150867],[-72.445588,43.008466],[-72.533219,42.953697],[-72.544173,42.80582],[-72.456542,42.729142],[-73.267129,42.745573],[-73.278083,42.833204],[-73.245221,43.523299],[-73.404052,43.687607],[-73.349283,43.769761],[-73.436914,44.043608],[-73.321898,44.246255],[-73.294514,44.437948],[-73.387622,44.618687],[-73.332852,44.804903],[-73.343806,45.013027],[-72.308664,45.002073],[-71.503554,45.013027]]]}},</t>
  </si>
  <si>
    <t xml:space="preserve">    {"type":"Feature","id":"51","properties":{"name":"Virginia","housevalue":252900},"geometry":{"type":"MultiPolygon","coordinates":[[[[-75.397659,38.013497],[-75.244304,38.029928],[-75.375751,37.860142],[-75.512674,37.799896],[-75.594828,37.569865],[-75.802952,37.197433],[-75.972737,37.120755],[-76.027507,37.257679],[-75.939876,37.564388],[-75.671506,37.95325],[-75.397659,38.013497]]],[[[-76.016553,37.95325],[-75.994645,37.95325],[-76.043938,37.95325],[-76.016553,37.95325]]],[[[-78.349729,39.464886],[-77.82942,39.130793],[-77.719881,39.322485],[-77.566527,39.306055],[-77.456988,39.223901],[-77.456988,39.076023],[-77.248864,39.026731],[-77.117418,38.933623],[-77.040741,38.791222],[-77.128372,38.632391],[-77.248864,38.588575],[-77.325542,38.446175],[-77.281726,38.342113],[-77.013356,38.374975],[-76.964064,38.216144],[-76.613539,38.15042],[-76.514954,38.024451],[-76.235631,37.887527],[-76.3616,37.608203],[-76.246584,37.389126],[-76.383508,37.285064],[-76.399939,37.159094],[-76.273969,37.082417],[-76.410893,36.961924],[-76.619016,37.120755],[-76.668309,37.065986],[-76.48757,36.95097],[-75.994645,36.923586],[-75.868676,36.551154],[-79.510841,36.5402],[-80.294043,36.545677],[-80.978661,36.562108],[-81.679709,36.589492],[-83.673316,36.600446],[-83.136575,36.742847],[-83.070852,36.852385],[-82.879159,36.890724],[-82.868205,36.978355],[-82.720328,37.044078],[-82.720328,37.120755],[-82.353373,37.268633],[-81.969987,37.537003],[-81.986418,37.454849],[-81.849494,37.285064],[-81.679709,37.20291],[-81.55374,37.208387],[-81.362047,37.339833],[-81.225123,37.235771],[-80.967707,37.290541],[-80.513121,37.482234],[-80.474782,37.421987],[-80.29952,37.509618],[-80.294043,37.690357],[-80.184505,37.849189],[-79.998289,37.997066],[-79.921611,38.177805],[-79.724442,38.364021],[-79.647764,38.594052],[-79.477979,38.457129],[-79.313671,38.413313],[-79.209609,38.495467],[-78.996008,38.851469],[-78.870039,38.763838],[-78.404499,39.169131],[-78.349729,39.464886]]]]}},</t>
  </si>
  <si>
    <t xml:space="preserve">    {"type":"Feature","id":"53","properties":{"name":"Washington","housevalue":375200},"geometry":{"type":"MultiPolygon","coordinates":[[[[-117.033359,49.000239],[-117.044313,47.762451],[-117.038836,46.426077],[-117.055267,46.343923],[-116.92382,46.168661],[-116.918344,45.993399],[-118.988627,45.998876],[-119.125551,45.933153],[-119.525367,45.911245],[-119.963522,45.823614],[-120.209985,45.725029],[-120.505739,45.697644],[-120.637186,45.746937],[-121.18488,45.604536],[-121.217742,45.670259],[-121.535404,45.725029],[-121.809251,45.708598],[-122.247407,45.549767],[-122.762239,45.659305],[-122.811531,45.960537],[-122.904639,46.08103],[-123.11824,46.185092],[-123.211348,46.174138],[-123.370179,46.146753],[-123.545441,46.261769],[-123.72618,46.300108],[-123.874058,46.239861],[-124.065751,46.327492],[-124.027412,46.464416],[-123.895966,46.535616],[-124.098612,46.74374],[-124.235536,47.285957],[-124.31769,47.357157],[-124.427229,47.740543],[-124.624399,47.88842],[-124.706553,48.184175],[-124.597014,48.381345],[-124.394367,48.288237],[-123.983597,48.162267],[-123.704273,48.167744],[-123.424949,48.118452],[-123.162056,48.167744],[-123.036086,48.080113],[-122.800578,48.08559],[-122.636269,47.866512],[-122.515777,47.882943],[-122.493869,47.587189],[-122.422669,47.318818],[-122.324084,47.346203],[-122.422669,47.576235],[-122.395284,47.800789],[-122.230976,48.030821],[-122.362422,48.123929],[-122.373376,48.288237],[-122.471961,48.468976],[-122.422669,48.600422],[-122.488392,48.753777],[-122.647223,48.775685],[-122.795101,48.8907],[-122.756762,49.000239],[-117.033359,49.000239]]],[[[-122.718423,48.310145],[-122.586977,48.35396],[-122.608885,48.151313],[-122.767716,48.227991],[-122.718423,48.310145]]],[[[-123.025132,48.583992],[-122.915593,48.715438],[-122.767716,48.556607],[-122.811531,48.419683],[-123.041563,48.458022],[-123.025132,48.583992]]]]}},</t>
  </si>
  <si>
    <t xml:space="preserve">    {"type":"Feature","id":"54","properties":{"name":"West Virginia","housevalue":96800},"geometry":{"type":"Polygon","coordinates":[[[-80.518598,40.636951],[-80.518598,39.722302],[-79.477979,39.722302],[-79.488933,39.20747],[-79.291763,39.300578],[-79.094593,39.470363],[-78.963147,39.437501],[-78.765977,39.585379],[-78.470222,39.514178],[-78.431884,39.623717],[-78.267575,39.61824],[-78.174467,39.694917],[-78.004682,39.601809],[-77.834897,39.601809],[-77.719881,39.322485],[-77.82942,39.130793],[-78.349729,39.464886],[-78.404499,39.169131],[-78.870039,38.763838],[-78.996008,38.851469],[-79.209609,38.495467],[-79.313671,38.413313],[-79.477979,38.457129],[-79.647764,38.594052],[-79.724442,38.364021],[-79.921611,38.177805],[-79.998289,37.997066],[-80.184505,37.849189],[-80.294043,37.690357],[-80.29952,37.509618],[-80.474782,37.421987],[-80.513121,37.482234],[-80.967707,37.290541],[-81.225123,37.235771],[-81.362047,37.339833],[-81.55374,37.208387],[-81.679709,37.20291],[-81.849494,37.285064],[-81.986418,37.454849],[-81.969987,37.537003],[-82.101434,37.553434],[-82.293127,37.668449],[-82.342419,37.783465],[-82.50125,37.931343],[-82.621743,38.123036],[-82.594358,38.424267],[-82.331465,38.446175],[-82.293127,38.577622],[-82.172634,38.632391],[-82.221926,38.785745],[-82.03571,39.026731],[-81.887833,38.873376],[-81.783771,38.966484],[-81.811156,39.0815],[-81.685186,39.273193],[-81.57017,39.267716],[-81.455155,39.410117],[-81.345616,39.344393],[-81.219646,39.388209],[-80.830783,39.711348],[-80.737675,40.078303],[-80.600752,40.319289],[-80.595275,40.472643],[-80.666475,40.582182],[-80.518598,40.636951]]]}},</t>
  </si>
  <si>
    <t xml:space="preserve">    {"type":"Feature","id":"55","properties":{"name":"Wisconsin","housevalue":181800},"geometry":{"type":"Polygon","coordinates":[[[-90.415429,46.568478],[-90.229213,46.508231],[-90.119674,46.338446],[-89.09001,46.135799],[-88.662808,45.987922],[-88.531362,46.020784],[-88.10416,45.922199],[-87.989145,45.796229],[-87.781021,45.675736],[-87.791975,45.500474],[-87.885083,45.363551],[-87.649574,45.341643],[-87.742682,45.199243],[-87.589328,45.095181],[-87.627666,44.974688],[-87.819359,44.95278],[-87.983668,44.722749],[-88.043914,44.563917],[-87.928898,44.536533],[-87.775544,44.640595],[-87.611236,44.837764],[-87.403112,44.914442],[-87.238804,45.166381],[-87.03068,45.22115],[-87.047111,45.089704],[-87.189511,44.969211],[-87.468835,44.552964],[-87.545512,44.322932],[-87.540035,44.158624],[-87.644097,44.103854],[-87.737205,43.8793],[-87.704344,43.687607],[-87.791975,43.561637],[-87.912467,43.249452],[-87.885083,43.002989],[-87.76459,42.783912],[-87.802929,42.493634],[-88.788778,42.493634],[-90.639984,42.510065],[-90.711184,42.636034],[-91.067185,42.75105],[-91.143862,42.909881],[-91.176724,43.134436],[-91.056231,43.254929],[-91.204109,43.353514],[-91.215062,43.501391],[-91.269832,43.616407],[-91.242447,43.775238],[-91.43414,43.994316],[-91.592971,44.032654],[-91.877772,44.202439],[-91.927065,44.333886],[-92.233773,44.443425],[-92.337835,44.552964],[-92.545959,44.569394],[-92.808852,44.750133],[-92.737652,45.117088],[-92.75956,45.286874],[-92.644544,45.440228],[-92.770513,45.566198],[-92.885529,45.577151],[-92.869098,45.719552],[-92.639067,45.933153],[-92.354266,46.015307],[-92.29402,46.075553],[-92.29402,46.667063],[-92.091373,46.749217],[-92.014696,46.705401],[-91.790141,46.694447],[-91.09457,46.864232],[-90.837154,46.95734],[-90.749522,46.88614],[-90.886446,46.754694],[-90.55783,46.584908],[-90.415429,46.568478]]]}},</t>
  </si>
  <si>
    <t xml:space="preserve">    ]};</t>
  </si>
  <si>
    <t>WHAT TO FIND</t>
  </si>
  <si>
    <t>REPLACE WITH</t>
  </si>
  <si>
    <t>STATE</t>
  </si>
  <si>
    <t>01</t>
  </si>
  <si>
    <t>OUTPUT</t>
  </si>
  <si>
    <t xml:space="preserve">    {"type":"Feature","id":"56","properties":{"name":"Wyoming","housevalue":220800},"geometry":{"type":"Polygon","coordinates":[[[-109.080842,45.002073],[-105.91517,45.002073],[-104.058488,44.996596],[-104.053011,43.002989],[-104.053011,41.003906],[-105.728954,40.998429],[-107.919731,41.003906],[-109.04798,40.998429],[-111.047063,40.998429],[-111.047063,42.000709],[-111.047063,44.476286],[-111.05254,45.002073],[-109.080842,45.002073]]]}}</t>
  </si>
  <si>
    <t xml:space="preserve">    {"type":"Feature","id":"01","properties":{"name":"Alabama","hv01":91800,"hv02":94800,"hv03":98800,"hv04":103900,"hv05":98400,"hv06":111900,"hv07":112100,"hv08":108700,"hv09":103600,"hv10":99300,"hv11":95200,"hv12":101200,"hv13":109400,"hv14":112700,"hv15":114800,"hv16":118400,"hv17":121400},"geometry":{"type":"Polygon","coordinates":[[[-87.359296,35.00118],[-85.606675,34.984749],[-85.431413,34.124869],[-85.184951,32.859696],[-85.069935,32.580372],[-84.960397,32.421541],[-85.004212,32.322956],[-84.889196,32.262709],[-85.058981,32.13674],[-85.053504,32.01077],[-85.141136,31.840985],[-85.042551,31.539753],[-85.113751,31.27686],[-85.004212,31.003013],[-85.497137,30.997536],[-87.600282,30.997536],[-87.633143,30.86609],[-87.408589,30.674397],[-87.446927,30.510088],[-87.37025,30.427934],[-87.518128,30.280057],[-87.655051,30.247195],[-87.90699,30.411504],[-87.934375,30.657966],[-88.011052,30.685351],[-88.10416,30.499135],[-88.137022,30.318396],[-88.394438,30.367688],[-88.471115,31.895754],[-88.241084,33.796253],[-88.098683,34.891641],[-88.202745,34.995703],[-87.359296,35.00118]]]}},</t>
  </si>
  <si>
    <t xml:space="preserve">    {"type":"Feature","id":"02","properties":{"name":"Alaska","hv01":183900,"hv02":191400,"hv03":205400,"hv04":221600,"hv05":246200,"hv06":265500,"hv07":273100,"hv08":274000,"hv09":276200,"hv10":278800,"hv11":277800,"hv12":278800,"hv13":284800,"hv14":294800,"hv15":300000,"hv16":303900,"hv17":308400},"geometry":{"type":"MultiPolygon","coordinates":[[[[-131.602021,55.117982],[-131.569159,55.28229],[-131.355558,55.183705],[-131.38842,55.01392],[-131.645836,55.035827],[-131.602021,55.117982]]],[[[-131.832052,55.42469],[-131.645836,55.304197],[-131.749898,55.128935],[-131.832052,55.189182],[-131.832052,55.42469]]],[[[-132.976733,56.437924],[-132.735747,56.459832],[-132.631685,56.421493],[-132.664547,56.273616],[-132.878148,56.240754],[-133.069841,56.333862],[-132.976733,56.437924]]],[[[-133.595627,56.350293],[-133.162949,56.317431],[-133.05341,56.125739],[-132.620732,55.912138],[-132.472854,55.780691],[-132.4619,55.671152],[-132.357838,55.649245],[-132.341408,55.506844],[-132.166146,55.364444],[-132.144238,55.238474],[-132.029222,55.276813],[-131.97993,55.178228],[-131.958022,54.789365],[-132.029222,54.701734],[-132.308546,54.718165],[-132.385223,54.915335],[-132.483808,54.898904],[-132.686455,55.046781],[-132.746701,54.997489],[-132.916486,55.046781],[-132.889102,54.898904],[-132.73027,54.937242],[-132.626209,54.882473],[-132.675501,54.679826],[-132.867194,54.701734],[-133.157472,54.95915],[-133.239626,55.090597],[-133.223195,55.22752],[-133.453227,55.216566],[-133.453227,55.320628],[-133.277964,55.331582],[-133.102702,55.42469],[-133.17938,55.588998],[-133.387503,55.62186],[-133.420365,55.884753],[-133.497042,56.0162],[-133.639442,55.923092],[-133.694212,56.070969],[-133.546335,56.142169],[-133.666827,56.311955],[-133.595627,56.350293]]],[[[-133.738027,55.556137],[-133.546335,55.490413],[-133.414888,55.572568],[-133.283441,55.534229],[-133.420365,55.386352],[-133.633966,55.430167],[-133.738027,55.556137]]],[[[-133.907813,56.930849],[-134.050213,57.029434],[-133.885905,57.095157],[-133.343688,57.002049],[-133.102702,57.007526],[-132.932917,56.82131],[-132.620732,56.667956],[-132.653593,56.55294],[-132.817901,56.492694],[-133.042456,56.520078],[-133.201287,56.448878],[-133.420365,56.492694],[-133.66135,56.448878],[-133.710643,56.684386],[-133.688735,56.837741],[-133.869474,56.843218],[-133.907813,56.930849]]],[[[-134.115936,56.48174],[-134.25286,56.558417],[-134.400737,56.722725],[-134.417168,56.848695],[-134.296675,56.908941],[-134.170706,56.848695],[-134.143321,56.952757],[-133.748981,56.772017],[-133.710643,56.596755],[-133.847566,56.574848],[-133.935197,56.377678],[-133.836612,56.322908],[-133.957105,56.092877],[-134.110459,56.142169],[-134.132367,55.999769],[-134.230952,56.070969],[-134.291198,56.350293],[-134.115936,56.48174]]],[[[-134.636246,56.28457],[-134.669107,56.169554],[-134.806031,56.235277],[-135.178463,56.67891],[-135.413971,56.810356],[-135.331817,56.914418],[-135.424925,57.166357],[-135.687818,57.369004],[-135.419448,57.566174],[-135.298955,57.48402],[-135.063447,57.418296],[-134.849846,57.407343],[-134.844369,57.248511],[-134.636246,56.728202],[-134.636246,56.28457]]],[[[-134.712923,58.223407],[-134.373353,58.14673],[-134.176183,58.157683],[-134.187137,58.081006],[-133.902336,57.807159],[-134.099505,57.850975],[-134.148798,57.757867],[-133.935197,57.615466],[-133.869474,57.363527],[-134.083075,57.297804],[-134.154275,57.210173],[-134.499322,57.029434],[-134.603384,57.034911],[-134.6472,57.226604],[-134.575999,57.341619],[-134.608861,57.511404],[-134.729354,57.719528],[-134.707446,57.829067],[-134.784123,58.097437],[-134.91557,58.212453],[-134.953908,58.409623],[-134.712923,58.223407]]],[[[-135.857603,57.330665],[-135.715203,57.330665],[-135.567326,57.149926],[-135.633049,57.023957],[-135.857603,56.996572],[-135.824742,57.193742],[-135.857603,57.330665]]],[[[-136.279328,58.206976],[-135.978096,58.201499],[-135.780926,58.28913],[-135.496125,58.168637],[-135.64948,58.037191],[-135.59471,57.987898],[-135.45231,58.135776],[-135.107263,58.086483],[-134.91557,57.976944],[-135.025108,57.779775],[-134.937477,57.763344],[-134.822462,57.500451],[-135.085355,57.462112],[-135.572802,57.675713],[-135.556372,57.456635],[-135.709726,57.369004],[-135.890465,57.407343],[-136.000004,57.544266],[-136.208128,57.637374],[-136.366959,57.829067],[-136.569606,57.916698],[-136.558652,58.075529],[-136.421728,58.130299],[-136.377913,58.267222],[-136.279328,58.206976]]],[[[-147.079854,60.200582],[-147.501579,59.948643],[-147.53444,59.850058],[-147.874011,59.784335],[-147.80281,59.937689],[-147.435855,60.09652],[-147.205824,60.271782],[-147.079854,60.200582]]],[[[-147.561825,60.578491],[-147.616594,60.370367],[-147.758995,60.156767],[-147.956165,60.227967],[-147.791856,60.474429],[-147.561825,60.578491]]],[[[-147.786379,70.245291],[-147.682318,70.201475],[-147.162008,70.15766],[-146.888161,70.185044],[-146.510252,70.185044],[-146.099482,70.146706],[-145.858496,70.168614],[-145.622988,70.08646],[-145.195787,69.993352],[-144.620708,69.971444],[-144.461877,70.026213],[-144.078491,70.059075],[-143.914183,70.130275],[-143.497935,70.141229],[-143.503412,70.091936],[-143.25695,70.119321],[-142.747594,70.042644],[-142.402547,69.916674],[-142.079408,69.856428],[-142.008207,69.801659],[-141.712453,69.790705],[-141.433129,69.697597],[-141.378359,69.63735],[-141.208574,69.686643],[-141.00045,69.648304],[-141.00045,60.304644],[-140.53491,60.22249],[-140.474664,60.310121],[-139.987216,60.184151],[-139.696939,60.342983],[-139.088998,60.359413],[-139.198537,60.091043],[-139.045183,59.997935],[-138.700135,59.910304],[-138.623458,59.767904],[-137.604747,59.242118],[-137.445916,58.908024],[-137.265177,59.001132],[-136.827022,59.159963],[-136.580559,59.16544],[-136.465544,59.285933],[-136.476498,59.466672],[-136.301236,59.466672],[-136.25742,59.625503],[-135.945234,59.663842],[-135.479694,59.800766],[-135.025108,59.565257],[-135.068924,59.422857],[-134.959385,59.280456],[-134.701969,59.247595],[-134.378829,59.033994],[-134.400737,58.973748],[-134.25286,58.858732],[-133.842089,58.727285],[-133.173903,58.152206],[-133.075318,57.998852],[-132.867194,57.845498],[-132.560485,57.505928],[-132.253777,57.21565],[-132.368792,57.095157],[-132.05113,57.051341],[-132.127807,56.876079],[-131.870391,56.804879],[-131.837529,56.602232],[-131.580113,56.613186],[-131.087188,56.405062],[-130.78048,56.366724],[-130.621648,56.268139],[-130.468294,56.240754],[-130.424478,56.142169],[-130.101339,56.114785],[-130.002754,55.994292],[-130.150631,55.769737],[-130.128724,55.583521],[-129.986323,55.276813],[-130.095862,55.200136],[-130.336847,54.920812],[-130.687372,54.718165],[-130.785957,54.822227],[-130.917403,54.789365],[-131.010511,54.997489],[-130.983126,55.08512],[-131.092665,55.189182],[-130.862634,55.298721],[-130.928357,55.337059],[-131.158389,55.200136],[-131.284358,55.287767],[-131.426759,55.238474],[-131.843006,55.457552],[-131.700606,55.698537],[-131.963499,55.616383],[-131.974453,55.49589],[-132.182576,55.588998],[-132.226392,55.704014],[-132.083991,55.829984],[-132.127807,55.955953],[-132.324977,55.851892],[-132.522147,56.076446],[-132.642639,56.032631],[-132.719317,56.218847],[-132.527624,56.339339],[-132.341408,56.339339],[-132.396177,56.487217],[-132.297592,56.67891],[-132.450946,56.673433],[-132.768609,56.837741],[-132.993164,57.034911],[-133.51895,57.177311],[-133.507996,57.577128],[-133.677781,57.62642],[-133.639442,57.790728],[-133.814705,57.834544],[-134.072121,58.053622],[-134.143321,58.168637],[-134.586953,58.206976],[-135.074401,58.502731],[-135.282525,59.192825],[-135.38111,59.033994],[-135.337294,58.891593],[-135.140124,58.617746],[-135.189417,58.573931],[-135.05797,58.349376],[-135.085355,58.201499],[-135.277048,58.234361],[-135.430402,58.398669],[-135.633049,58.426053],[-135.91785,58.382238],[-135.912373,58.617746],[-136.087635,58.814916],[-136.246466,58.75467],[-136.876314,58.962794],[-136.931084,58.902547],[-136.586036,58.836824],[-136.317666,58.672516],[-136.213604,58.667039],[-136.180743,58.535592],[-136.043819,58.382238],[-136.388867,58.294607],[-136.591513,58.349376],[-136.59699,58.212453],[-136.859883,58.316515],[-136.947514,58.393192],[-137.111823,58.393192],[-137.566409,58.590362],[-137.900502,58.765624],[-137.933364,58.869686],[-138.11958,59.02304],[-138.634412,59.132579],[-138.919213,59.247595],[-139.417615,59.379041],[-139.746231,59.505011],[-139.718846,59.641934],[-139.625738,59.598119],[-139.5162,59.68575],[-139.625738,59.88292],[-139.488815,59.992458],[-139.554538,60.041751],[-139.801,59.833627],[-140.315833,59.696704],[-140.92925,59.745996],[-141.444083,59.871966],[-141.46599,59.970551],[-141.706976,59.948643],[-141.964392,60.019843],[-142.539471,60.085566],[-142.873564,60.091043],[-143.623905,60.036274],[-143.892275,59.997935],[-144.231845,60.140336],[-144.65357,60.206059],[-144.785016,60.29369],[-144.834309,60.441568],[-145.124586,60.430614],[-145.223171,60.299167],[-145.738004,60.474429],[-145.820158,60.551106],[-146.351421,60.408706],[-146.608837,60.238921],[-146.718376,60.397752],[-146.608837,60.485383],[-146.455483,60.463475],[-145.951604,60.578491],[-146.017328,60.666122],[-146.252836,60.622307],[-146.345944,60.737322],[-146.565022,60.753753],[-146.784099,61.044031],[-146.866253,60.972831],[-147.172962,60.934492],[-147.271547,60.972831],[-147.375609,60.879723],[-147.758995,60.912584],[-147.775426,60.808523],[-148.032842,60.781138],[-148.153334,60.819476],[-148.065703,61.005692],[-148.175242,61.000215],[-148.350504,60.803046],[-148.109519,60.737322],[-148.087611,60.594922],[-147.939734,60.441568],[-148.027365,60.277259],[-148.219058,60.332029],[-148.273827,60.249875],[-148.087611,60.217013],[-147.983549,59.997935],[-148.251919,59.95412],[-148.399797,59.997935],[-148.635305,59.937689],[-148.755798,59.986981],[-149.067984,59.981505],[-149.05703,60.063659],[-149.204907,60.008889],[-149.287061,59.904827],[-149.418508,59.997935],[-149.582816,59.866489],[-149.511616,59.806242],[-149.741647,59.729565],[-149.949771,59.718611],[-150.031925,59.61455],[-150.25648,59.521442],[-150.409834,59.554303],[-150.579619,59.444764],[-150.716543,59.450241],[-151.001343,59.225687],[-151.308052,59.209256],[-151.406637,59.280456],[-151.592853,59.159963],[-151.976239,59.253071],[-151.888608,59.422857],[-151.636669,59.483103],[-151.47236,59.472149],[-151.423068,59.537872],[-151.127313,59.669319],[-151.116359,59.778858],[-151.505222,59.63098],[-151.828361,59.718611],[-151.8667,59.778858],[-151.702392,60.030797],[-151.423068,60.211536],[-151.379252,60.359413],[-151.297098,60.386798],[-151.264237,60.545629],[-151.406637,60.720892],[-151.06159,60.786615],[-150.404357,61.038554],[-150.245526,60.939969],[-150.042879,60.912584],[-149.741647,61.016646],[-150.075741,61.15357],[-150.207187,61.257632],[-150.47008,61.246678],[-150.656296,61.29597],[-150.711066,61.252155],[-151.023251,61.180954],[-151.165652,61.044031],[-151.477837,61.011169],[-151.800977,60.852338],[-151.833838,60.748276],[-152.080301,60.693507],[-152.13507,60.578491],[-152.310332,60.507291],[-152.392486,60.304644],[-152.732057,60.173197],[-152.567748,60.069136],[-152.704672,59.915781],[-153.022334,59.888397],[-153.049719,59.691227],[-153.345474,59.620026],[-153.438582,59.702181],[-153.586459,59.548826],[-153.761721,59.543349],[-153.72886,59.433811],[-154.117723,59.368087],[-154.1944,59.066856],[-153.750768,59.050425],[-153.400243,58.968271],[-153.301658,58.869686],[-153.444059,58.710854],[-153.679567,58.612269],[-153.898645,58.606793],[-153.920553,58.519161],[-154.062953,58.4863],[-153.99723,58.376761],[-154.145107,58.212453],[-154.46277,58.059098],[-154.643509,58.059098],[-154.818771,58.004329],[-154.988556,58.015283],[-155.120003,57.955037],[-155.081664,57.872883],[-155.328126,57.829067],[-155.377419,57.708574],[-155.547204,57.785251],[-155.73342,57.549743],[-156.045606,57.566174],[-156.023698,57.440204],[-156.209914,57.473066],[-156.34136,57.418296],[-156.34136,57.248511],[-156.549484,56.985618],[-156.883577,56.952757],[-157.157424,56.832264],[-157.20124,56.766541],[-157.376502,56.859649],[-157.672257,56.607709],[-157.754411,56.67891],[-157.918719,56.657002],[-157.957058,56.514601],[-158.126843,56.459832],[-158.32949,56.48174],[-158.488321,56.339339],[-158.208997,56.295524],[-158.510229,55.977861],[-159.375585,55.873799],[-159.616571,55.594475],[-159.676817,55.654722],[-159.643955,55.829984],[-159.813741,55.857368],[-160.027341,55.791645],[-160.060203,55.720445],[-160.394296,55.605429],[-160.536697,55.473983],[-160.580512,55.567091],[-160.668143,55.457552],[-160.865313,55.528752],[-161.232268,55.358967],[-161.506115,55.364444],[-161.467776,55.49589],[-161.588269,55.62186],[-161.697808,55.517798],[-161.686854,55.408259],[-162.053809,55.074166],[-162.179779,55.15632],[-162.218117,55.03035],[-162.470057,55.052258],[-162.508395,55.249428],[-162.661749,55.293244],[-162.716519,55.222043],[-162.579595,55.134412],[-162.645319,54.997489],[-162.847965,54.926289],[-163.00132,55.079643],[-163.187536,55.090597],[-163.220397,55.03035],[-163.034181,54.942719],[-163.373752,54.800319],[-163.14372,54.76198],[-163.138243,54.696257],[-163.329936,54.74555],[-163.587352,54.614103],[-164.085754,54.61958],[-164.332216,54.531949],[-164.354124,54.466226],[-164.638925,54.389548],[-164.847049,54.416933],[-164.918249,54.603149],[-164.710125,54.663395],[-164.551294,54.88795],[-164.34317,54.893427],[-163.894061,55.041304],[-163.532583,55.046781],[-163.39566,54.904381],[-163.291598,55.008443],[-163.313505,55.128935],[-163.105382,55.183705],[-162.880827,55.183705],[-162.579595,55.446598],[-162.245502,55.682106],[-161.807347,55.89023],[-161.292514,55.983338],[-161.078914,55.939523],[-160.87079,55.999769],[-160.816021,55.912138],[-160.931036,55.813553],[-160.805067,55.736876],[-160.766728,55.857368],[-160.509312,55.868322],[-160.438112,55.791645],[-160.27928,55.76426],[-160.273803,55.857368],[-160.536697,55.939523],[-160.558604,55.994292],[-160.383342,56.251708],[-160.147834,56.399586],[-159.830171,56.541986],[-159.326293,56.667956],[-158.959338,56.848695],[-158.784076,56.782971],[-158.641675,56.810356],[-158.701922,56.925372],[-158.658106,57.034911],[-158.378782,57.264942],[-157.995396,57.41282],[-157.688688,57.609989],[-157.705118,57.719528],[-157.458656,58.497254],[-157.07527,58.705377],[-157.119086,58.869686],[-158.039212,58.634177],[-158.32949,58.661562],[-158.40069,58.760147],[-158.564998,58.803962],[-158.619768,58.913501],[-158.767645,58.864209],[-158.860753,58.694424],[-158.701922,58.480823],[-158.893615,58.387715],[-159.0634,58.420577],[-159.392016,58.760147],[-159.616571,58.929932],[-159.731586,58.929932],[-159.808264,58.803962],[-159.906848,58.782055],[-160.054726,58.886116],[-160.235465,58.902547],[-160.317619,59.072332],[-160.854359,58.88064],[-161.33633,58.743716],[-161.374669,58.667039],[-161.752577,58.552023],[-161.938793,58.656085],[-161.769008,58.776578],[-161.829255,59.061379],[-161.955224,59.36261],[-161.703285,59.48858],[-161.911409,59.740519],[-162.092148,59.88292],[-162.234548,60.091043],[-162.448149,60.178674],[-162.502918,59.997935],[-162.760334,59.959597],[-163.171105,59.844581],[-163.66403,59.795289],[-163.9324,59.806242],[-164.162431,59.866489],[-164.189816,60.02532],[-164.386986,60.074613],[-164.699171,60.29369],[-164.962064,60.337506],[-165.268773,60.578491],[-165.060649,60.68803],[-165.016834,60.890677],[-165.175665,60.846861],[-165.197573,60.972831],[-165.120896,61.076893],[-165.323543,61.170001],[-165.34545,61.071416],[-165.591913,61.109754],[-165.624774,61.279539],[-165.816467,61.301447],[-165.920529,61.416463],[-165.915052,61.558863],[-166.106745,61.49314],[-166.139607,61.630064],[-165.904098,61.662925],[-166.095791,61.81628],[-165.756221,61.827233],[-165.756221,62.013449],[-165.674067,62.139419],[-165.044219,62.539236],[-164.912772,62.659728],[-164.819664,62.637821],[-164.874433,62.807606],[-164.633448,63.097884],[-164.425324,63.212899],[-164.036462,63.262192],[-163.73523,63.212899],[-163.313505,63.037637],[-163.039658,63.059545],[-162.661749,63.22933],[-162.272887,63.486746],[-162.075717,63.514131],[-162.026424,63.448408],[-161.555408,63.448408],[-161.13916,63.503177],[-160.766728,63.771547],[-160.766728,63.837271],[-160.952944,64.08921],[-160.974852,64.237087],[-161.26513,64.395918],[-161.374669,64.532842],[-161.078914,64.494503],[-160.79959,64.609519],[-160.783159,64.719058],[-161.144637,64.921705],[-161.413007,64.762873],[-161.664946,64.790258],[-161.900455,64.702627],[-162.168825,64.680719],[-162.234548,64.620473],[-162.541257,64.532842],[-162.634365,64.384965],[-162.787719,64.324718],[-162.858919,64.49998],[-163.045135,64.538319],[-163.176582,64.401395],[-163.253259,64.467119],[-163.598306,64.565704],[-164.304832,64.560227],[-164.80871,64.450688],[-165.000403,64.434257],[-165.411174,64.49998],[-166.188899,64.576658],[-166.391546,64.636904],[-166.484654,64.735489],[-166.413454,64.872412],[-166.692778,64.987428],[-166.638008,65.113398],[-166.462746,65.179121],[-166.517516,65.337952],[-166.796839,65.337952],[-167.026871,65.381768],[-167.47598,65.414629],[-167.711489,65.496784],[-168.072967,65.578938],[-168.105828,65.682999],[-167.541703,65.819923],[-166.829701,66.049954],[-166.3313,66.186878],[-166.046499,66.110201],[-165.756221,66.09377],[-165.690498,66.203309],[-165.86576,66.21974],[-165.88219,66.312848],[-165.186619,66.466202],[-164.403417,66.581218],[-163.981692,66.592172],[-163.751661,66.553833],[-163.872153,66.389525],[-163.828338,66.274509],[-163.915969,66.192355],[-163.768091,66.060908],[-163.494244,66.082816],[-163.149197,66.060908],[-162.749381,66.088293],[-162.634365,66.039001],[-162.371472,66.028047],[-162.14144,66.077339],[-161.840208,66.02257],[-161.549931,66.241647],[-161.341807,66.252601],[-161.199406,66.208786],[-161.128206,66.334755],[-161.528023,66.395002],[-161.911409,66.345709],[-161.87307,66.510017],[-162.174302,66.68528],[-162.502918,66.740049],[-162.601503,66.89888],[-162.344087,66.937219],[-162.015471,66.778388],[-162.075717,66.652418],[-161.916886,66.553833],[-161.571838,66.438817],[-161.489684,66.55931],[-161.884024,66.718141],[-161.714239,67.002942],[-161.851162,67.052235],[-162.240025,66.991988],[-162.639842,67.008419],[-162.700088,67.057712],[-162.902735,67.008419],[-163.740707,67.128912],[-163.757138,67.254881],[-164.009077,67.534205],[-164.211724,67.638267],[-164.534863,67.725898],[-165.192096,67.966884],[-165.493328,68.059992],[-165.794559,68.081899],[-166.243668,68.246208],[-166.681824,68.339316],[-166.703731,68.372177],[-166.375115,68.42147],[-166.227238,68.574824],[-166.216284,68.881533],[-165.329019,68.859625],[-164.255539,68.930825],[-163.976215,68.985595],[-163.532583,69.138949],[-163.110859,69.374457],[-163.023228,69.609966],[-162.842489,69.812613],[-162.470057,69.982398],[-162.311225,70.108367],[-161.851162,70.311014],[-161.779962,70.256245],[-161.396576,70.239814],[-160.837928,70.343876],[-160.487404,70.453415],[-159.649432,70.792985],[-159.33177,70.809416],[-159.298908,70.760123],[-158.975769,70.798462],[-158.658106,70.787508],[-158.033735,70.831323],[-157.420318,70.979201],[-156.812377,71.285909],[-156.565915,71.351633],[-156.522099,71.296863],[-155.585543,71.170894],[-155.508865,71.083263],[-155.832005,70.968247],[-155.979882,70.96277],[-155.974405,70.809416],[-155.503388,70.858708],[-155.476004,70.940862],[-155.262403,71.017539],[-155.191203,70.973724],[-155.032372,71.148986],[-154.566832,70.990155],[-154.643509,70.869662],[-154.353231,70.8368],[-154.183446,70.7656],[-153.931507,70.880616],[-153.487874,70.886093],[-153.235935,70.924431],[-152.589656,70.886093],[-152.26104,70.842277],[-152.419871,70.606769],[-151.817408,70.546523],[-151.773592,70.486276],[-151.187559,70.382214],[-151.182082,70.431507],[-150.760358,70.49723],[-150.355064,70.491753],[-150.349588,70.436984],[-150.114079,70.431507],[-149.867617,70.508184],[-149.462323,70.519138],[-149.177522,70.486276],[-148.78866,70.404122],[-148.607921,70.420553],[-148.350504,70.305537],[-148.202627,70.349353],[-147.961642,70.316491],[-147.786379,70.245291]]],[[[-152.94018,58.026237],[-152.945657,57.982421],[-153.290705,58.048145],[-153.044242,58.305561],[-152.819688,58.327469],[-152.666333,58.562977],[-152.496548,58.354853],[-152.354148,58.426053],[-152.080301,58.311038],[-152.080301,58.152206],[-152.480117,58.130299],[-152.655379,58.059098],[-152.94018,58.026237]]],[[[-153.958891,57.538789],[-153.67409,57.670236],[-153.931507,57.69762],[-153.936983,57.812636],[-153.723383,57.889313],[-153.570028,57.834544],[-153.548121,57.719528],[-153.46049,57.796205],[-153.455013,57.96599],[-153.268797,57.889313],[-153.235935,57.998852],[-153.071627,57.933129],[-152.874457,57.933129],[-152.721103,57.993375],[-152.469163,57.889313],[-152.469163,57.599035],[-152.151501,57.620943],[-152.359625,57.42925],[-152.74301,57.505928],[-152.60061,57.379958],[-152.710149,57.275896],[-152.907319,57.325188],[-152.912796,57.128019],[-153.214027,57.073249],[-153.312612,56.991095],[-153.498828,57.067772],[-153.695998,56.859649],[-153.849352,56.837741],[-154.013661,56.744633],[-154.073907,56.969187],[-154.303938,56.848695],[-154.314892,56.919895],[-154.523016,56.991095],[-154.539447,57.193742],[-154.742094,57.275896],[-154.627078,57.511404],[-154.227261,57.659282],[-153.980799,57.648328],[-153.958891,57.538789]]],[[[-154.53397,56.602232],[-154.742094,56.399586],[-154.807817,56.432447],[-154.53397,56.602232]]],[[[-155.634835,55.923092],[-155.476004,55.912138],[-155.530773,55.704014],[-155.793666,55.731399],[-155.837482,55.802599],[-155.634835,55.923092]]],[[[-159.890418,55.28229],[-159.950664,55.068689],[-160.257373,54.893427],[-160.109495,55.161797],[-160.005433,55.134412],[-159.890418,55.28229]]],[[[-160.520266,55.358967],[-160.33405,55.358967],[-160.339527,55.249428],[-160.525743,55.128935],[-160.690051,55.211089],[-160.794113,55.134412],[-160.854359,55.320628],[-160.79959,55.380875],[-160.520266,55.358967]]],[[[-162.256456,54.981058],[-162.234548,54.893427],[-162.349564,54.838658],[-162.437195,54.931766],[-162.256456,54.981058]]],[[[-162.415287,63.634624],[-162.563165,63.536039],[-162.612457,63.62367],[-162.415287,63.634624]]],[[[-162.80415,54.488133],[-162.590549,54.449795],[-162.612457,54.367641],[-162.782242,54.373118],[-162.80415,54.488133]]],[[[-165.548097,54.29644],[-165.476897,54.181425],[-165.630251,54.132132],[-165.685021,54.252625],[-165.548097,54.29644]]],[[[-165.73979,54.15404],[-166.046499,54.044501],[-166.112222,54.121178],[-165.980775,54.219763],[-165.73979,54.15404]]],[[[-166.364161,60.359413],[-166.13413,60.397752],[-166.084837,60.326552],[-165.88219,60.342983],[-165.685021,60.277259],[-165.646682,59.992458],[-165.750744,59.89935],[-166.00816,59.844581],[-166.062929,59.745996],[-166.440838,59.855535],[-166.6161,59.850058],[-166.994009,59.992458],[-167.125456,59.992458],[-167.344534,60.074613],[-167.421211,60.206059],[-167.311672,60.238921],[-166.93924,60.206059],[-166.763978,60.310121],[-166.577762,60.321075],[-166.495608,60.392275],[-166.364161,60.359413]]],[[[-166.375115,54.01164],[-166.210807,53.934962],[-166.5449,53.748746],[-166.539423,53.715885],[-166.117699,53.852808],[-166.112222,53.776131],[-166.282007,53.683023],[-166.555854,53.622777],[-166.583239,53.529669],[-166.878994,53.431084],[-167.13641,53.425607],[-167.306195,53.332499],[-167.623857,53.250345],[-167.793643,53.337976],[-167.459549,53.442038],[-167.355487,53.425607],[-167.103548,53.513238],[-167.163794,53.611823],[-167.021394,53.715885],[-166.807793,53.666592],[-166.785886,53.732316],[-167.015917,53.754223],[-167.141887,53.825424],[-167.032348,53.945916],[-166.643485,54.017116],[-166.561331,53.880193],[-166.375115,54.01164]]],[[[-168.790446,53.157237],[-168.40706,53.34893],[-168.385152,53.431084],[-168.237275,53.524192],[-168.007243,53.568007],[-167.886751,53.518715],[-167.842935,53.387268],[-168.270136,53.244868],[-168.500168,53.036744],[-168.686384,52.965544],[-168.790446,53.157237]]],[[[-169.74891,52.894344],[-169.705095,52.795759],[-169.962511,52.790282],[-169.989896,52.856005],[-169.74891,52.894344]]],[[[-170.148727,57.221127],[-170.28565,57.128019],[-170.313035,57.221127],[-170.148727,57.221127]]],[[[-170.669036,52.697174],[-170.603313,52.604066],[-170.789529,52.538343],[-170.816914,52.636928],[-170.669036,52.697174]]],[[[-171.742517,63.716778],[-170.94836,63.5689],[-170.488297,63.69487],[-170.280174,63.683916],[-170.093958,63.612716],[-170.044665,63.492223],[-169.644848,63.4265],[-169.518879,63.366254],[-168.99857,63.338869],[-168.686384,63.295053],[-168.856169,63.147176],[-169.108108,63.180038],[-169.376478,63.152653],[-169.513402,63.08693],[-169.639372,62.939052],[-169.831064,63.075976],[-170.055619,63.169084],[-170.263743,63.180038],[-170.362328,63.2841],[-170.866206,63.415546],[-171.101715,63.421023],[-171.463193,63.306007],[-171.73704,63.366254],[-171.852055,63.486746],[-171.742517,63.716778]]],[[[-172.432611,52.390465],[-172.41618,52.275449],[-172.607873,52.253542],[-172.569535,52.352127],[-172.432611,52.390465]]],[[[-173.626584,52.14948],[-173.495138,52.105664],[-173.122706,52.111141],[-173.106275,52.07828],[-173.549907,52.028987],[-173.626584,52.14948]]],[[[-174.322156,52.280926],[-174.327632,52.379511],[-174.185232,52.41785],[-173.982585,52.319265],[-174.059262,52.226157],[-174.179755,52.231634],[-174.141417,52.127572],[-174.333109,52.116618],[-174.738403,52.007079],[-174.968435,52.039941],[-174.902711,52.116618],[-174.656249,52.105664],[-174.322156,52.280926]]],[[[-176.469116,51.853725],[-176.288377,51.870156],[-176.288377,51.744186],[-176.518409,51.760617],[-176.80321,51.61274],[-176.912748,51.80991],[-176.792256,51.815386],[-176.775825,51.963264],[-176.627947,51.968741],[-176.627947,51.859202],[-176.469116,51.853725]]],[[[-177.153734,51.946833],[-177.044195,51.897541],[-177.120872,51.727755],[-177.274226,51.678463],[-177.279703,51.782525],[-177.153734,51.946833]]],[[[-178.123152,51.919448],[-177.953367,51.913971],[-177.800013,51.793479],[-177.964321,51.651078],[-178.123152,51.919448]]],[[[-187.107557,52.992929],[-187.293773,52.927205],[-187.304726,52.823143],[-188.90491,52.762897],[-188.642017,52.927205],[-188.642017,53.003883],[-187.107557,52.992929]]]]}},</t>
  </si>
  <si>
    <t xml:space="preserve">    {"type":"Feature","id":"04","properties":{"name":"Arizona","hv01":136600,"hv02":144900,"hv03":154200,"hv04":184500,"hv05":258400,"hv06":259400,"hv07":231700,"hv08":187600,"hv09":157500,"hv10":141500,"hv11":133100,"hv12":155000,"hv13":176000,"hv14":183700,"hv15":198000,"hv16":215300,"hv17":230900},"geometry":{"type":"Polygon","coordinates":[[[-109.042503,37.000263],[-109.04798,31.331629],[-111.074448,31.331629],[-112.246513,31.704061],[-114.815198,32.492741],[-114.72209,32.717295],[-114.524921,32.755634],[-114.470151,32.843265],[-114.524921,33.029481],[-114.661844,33.034958],[-114.727567,33.40739],[-114.524921,33.54979],[-114.497536,33.697668],[-114.535874,33.933176],[-114.415382,34.108438],[-114.256551,34.174162],[-114.136058,34.305608],[-114.333228,34.448009],[-114.470151,34.710902],[-114.634459,34.87521],[-114.634459,35.00118],[-114.574213,35.138103],[-114.596121,35.324319],[-114.678275,35.516012],[-114.738521,36.102045],[-114.371566,36.140383],[-114.251074,36.01989],[-114.152489,36.025367],[-114.048427,36.195153],[-114.048427,37.000263],[-110.499369,37.00574],[-109.042503,37.000263]]]}},</t>
  </si>
  <si>
    <t xml:space="preserve">    {"type":"Feature","id":"05","properties":{"name":"Arkansas","hv01":74800,"hv02":79100,"hv03":81800,"hv04":87900,"hv05":96400,"hv06":102400,"hv07":102800,"hv08":100000,"hv09":98100,"hv10":96000,"hv11":94000,"hv12":94900,"hv13":98700,"hv14":101500,"hv15":106000,"hv16":112900,"hv17":116900},"geometry":{"type":"Polygon","coordinates":[[[-94.473842,36.501861],[-90.152536,36.496384],[-90.064905,36.304691],[-90.218259,36.184199],[-90.377091,35.997983],[-89.730812,35.997983],[-89.763673,35.811767],[-89.911551,35.756997],[-89.944412,35.603643],[-90.130628,35.439335],[-90.114197,35.198349],[-90.212782,35.023087],[-90.311367,34.995703],[-90.251121,34.908072],[-90.409952,34.831394],[-90.481152,34.661609],[-90.585214,34.617794],[-90.568783,34.420624],[-90.749522,34.365854],[-90.744046,34.300131],[-90.952169,34.135823],[-90.891923,34.026284],[-91.072662,33.867453],[-91.231493,33.560744],[-91.056231,33.429298],[-91.143862,33.347144],[-91.089093,33.13902],[-91.16577,33.002096],[-93.608485,33.018527],[-94.041164,33.018527],[-94.041164,33.54979],[-94.183564,33.593606],[-94.380734,33.544313],[-94.484796,33.637421],[-94.430026,35.395519],[-94.616242,36.501861],[-94.473842,36.501861]]]}},</t>
  </si>
  <si>
    <t xml:space="preserve">    {"type":"Feature","id":"06","properties":{"name":"California","hv01":262400,"hv02":305100,"hv03":366700,"hv04":464700,"hv05":528800,"hv06":526900,"hv07":466700,"hv08":369800,"hv09":334200,"hv10":323800,"hv11":301400,"hv12":326700,"hv13":390500,"hv14":418800,"hv15":449700,"hv16":483800,"hv17":521800},"geometry":{"type":"Polygon","coordinates":[[[-123.233256,42.006186],[-122.378853,42.011663],[-121.037003,41.995232],[-120.001861,41.995232],[-119.996384,40.264519],[-120.001861,38.999346],[-118.71478,38.101128],[-117.498899,37.21934],[-116.540435,36.501861],[-115.85034,35.970598],[-114.634459,35.00118],[-114.634459,34.87521],[-114.470151,34.710902],[-114.333228,34.448009],[-114.136058,34.305608],[-114.256551,34.174162],[-114.415382,34.108438],[-114.535874,33.933176],[-114.497536,33.697668],[-114.524921,33.54979],[-114.727567,33.40739],[-114.661844,33.034958],[-114.524921,33.029481],[-114.470151,32.843265],[-114.524921,32.755634],[-114.72209,32.717295],[-116.04751,32.624187],[-117.126467,32.536556],[-117.24696,32.668003],[-117.252437,32.876127],[-117.329114,33.122589],[-117.471515,33.297851],[-117.7837,33.538836],[-118.183517,33.763391],[-118.260194,33.703145],[-118.413548,33.741483],[-118.391641,33.840068],[-118.566903,34.042715],[-118.802411,33.998899],[-119.218659,34.146777],[-119.278905,34.26727],[-119.558229,34.415147],[-119.875891,34.40967],[-120.138784,34.475393],[-120.472878,34.448009],[-120.64814,34.579455],[-120.609801,34.858779],[-120.670048,34.902595],[-120.631709,35.099764],[-120.894602,35.247642],[-120.905556,35.450289],[-121.004141,35.461243],[-121.168449,35.636505],[-121.283465,35.674843],[-121.332757,35.784382],[-121.716143,36.195153],[-121.896882,36.315645],[-121.935221,36.638785],[-121.858544,36.6114],[-121.787344,36.803093],[-121.929744,36.978355],[-122.105006,36.956447],[-122.335038,37.115279],[-122.417192,37.241248],[-122.400761,37.361741],[-122.515777,37.520572],[-122.515777,37.783465],[-122.329561,37.783465],[-122.406238,38.15042],[-122.488392,38.112082],[-122.504823,37.931343],[-122.701993,37.893004],[-122.937501,38.029928],[-122.97584,38.265436],[-123.129194,38.451652],[-123.331841,38.566668],[-123.44138,38.698114],[-123.737134,38.95553],[-123.687842,39.032208],[-123.824765,39.366301],[-123.764519,39.552517],[-123.85215,39.831841],[-124.109566,40.105688],[-124.361506,40.259042],[-124.410798,40.439781],[-124.158859,40.877937],[-124.109566,41.025814],[-124.158859,41.14083],[-124.065751,41.442061],[-124.147905,41.715908],[-124.257444,41.781632],[-124.213628,42.000709],[-123.233256,42.006186]]]}},</t>
  </si>
  <si>
    <t xml:space="preserve">    {"type":"Feature","id":"08","properties":{"name":"Colorado","hv01":199800,"hv02":206800,"hv03":212500,"hv04":219400,"hv05":227400,"hv06":231900,"hv07":228700,"hv08":220200,"hv09":216400,"hv10":209500,"hv11":206000,"hv12":219000,"hv13":236700,"hv14":258500,"hv15":293500,"hv16":324700,"hv17":350800},"geometry":{"type":"Polygon","coordinates":[[[-107.919731,41.003906],[-105.728954,40.998429],[-104.053011,41.003906],[-102.053927,41.003906],[-102.053927,40.001626],[-102.042974,36.994786],[-103.001438,37.000263],[-104.337812,36.994786],[-106.868158,36.994786],[-107.421329,37.000263],[-109.042503,37.000263],[-109.042503,38.166851],[-109.058934,38.27639],[-109.053457,39.125316],[-109.04798,40.998429],[-107.919731,41.003906]]]}},</t>
  </si>
  <si>
    <t xml:space="preserve">    {"type":"Feature","id":"09","properties":{"name":"Connecticut","hv01":181700,"hv02":203200,"hv03":232400,"hv04":261900,"hv05":287200,"hv06":287100,"hv07":276900,"hv08":256200,"hv09":243100,"hv10":232900,"hv11":220500,"hv12":215700,"hv13":221600,"hv14":221000,"hv15":222600,"hv16":226900,"hv17":236000},"geometry":{"type":"Polygon","coordinates":[[[-73.053528,42.039048],[-71.799309,42.022617],[-71.799309,42.006186],[-71.799309,41.414677],[-71.859555,41.321569],[-71.947186,41.338],[-72.385341,41.261322],[-72.905651,41.28323],[-73.130205,41.146307],[-73.371191,41.102491],[-73.655992,40.987475],[-73.727192,41.102491],[-73.48073,41.21203],[-73.55193,41.294184],[-73.486206,42.050002],[-73.053528,42.039048]]]}},</t>
  </si>
  <si>
    <t xml:space="preserve">    {"type":"Feature","id":"10","properties":{"name":"Delaware","hv01":137800,"hv02":149800,"hv03":170300,"hv04":210200,"hv05":220700,"hv06":233200,"hv07":236600,"hv08":229200,"hv09":218000,"hv10":223500,"hv11":197300,"hv12":186400,"hv13":194200,"hv14":199200,"hv15":208500,"hv16":219000,"hv17":236400},"geometry":{"type":"Polygon","coordinates":[[[-75.414089,39.804456],[-75.507197,39.683964],[-75.611259,39.61824],[-75.589352,39.459409],[-75.441474,39.311532],[-75.403136,39.065069],[-75.189535,38.807653],[-75.09095,38.796699],[-75.047134,38.451652],[-75.693413,38.462606],[-75.786521,39.722302],[-75.616736,39.831841],[-75.414089,39.804456]]]}},</t>
  </si>
  <si>
    <t xml:space="preserve">    {"type":"Feature","id":"11","properties":{"name":"District of Columbia","hv01":178900,"hv02":220900,"hv03":273800,"hv04":343200,"hv05":391600,"hv06":400100,"hv07":397700,"hv08":369000,"hv09":353000,"hv10":355900,"hv11":352600,"hv12":384800,"hv13":428900,"hv14":452600,"hv15":482900,"hv16":528300,"hv17":548500},"geometry":{"type":"Polygon","coordinates":[[[-77.035264,38.993869],[-76.909294,38.895284],[-77.040741,38.791222],[-77.117418,38.933623],[-77.035264,38.993869]]]}},</t>
  </si>
  <si>
    <t xml:space="preserve">    {"type":"Feature","id":"12","properties":{"name":"Florida","hv01":121700,"hv02":133100,"hv03":150700,"hv04":184200,"hv05":240000,"hv06":254900,"hv07":221300,"hv08":173900,"hv09":142800,"hv10":130500,"hv11":123600,"hv12":128700,"hv13":144700,"hv14":158000,"hv15":173700,"hv16":195400,"hv17":214200},"geometry":{"type":"Polygon","coordinates":[[[-85.497137,30.997536],[-85.004212,31.003013],[-84.867289,30.712735],[-83.498053,30.647012],[-82.216449,30.570335],[-82.167157,30.356734],[-82.046664,30.362211],[-82.002849,30.564858],[-82.041187,30.751074],[-81.948079,30.827751],[-81.718048,30.745597],[-81.444201,30.707258],[-81.383954,30.27458],[-81.257985,29.787132],[-80.967707,29.14633],[-80.524075,28.461713],[-80.589798,28.41242],[-80.56789,28.094758],[-80.381674,27.738757],[-80.091397,27.021277],[-80.03115,26.796723],[-80.036627,26.566691],[-80.146166,25.739673],[-80.239274,25.723243],[-80.337859,25.465826],[-80.304997,25.383672],[-80.49669,25.197456],[-80.573367,25.241272],[-80.759583,25.164595],[-81.077246,25.120779],[-81.170354,25.224841],[-81.126538,25.378195],[-81.351093,25.821827],[-81.526355,25.903982],[-81.679709,25.843735],[-81.800202,26.090198],[-81.833064,26.292844],[-82.041187,26.517399],[-82.09048,26.665276],[-82.057618,26.878877],[-82.172634,26.917216],[-82.145249,26.791246],[-82.249311,26.758384],[-82.566974,27.300601],[-82.692943,27.437525],[-82.391711,27.837342],[-82.588881,27.815434],[-82.720328,27.689464],[-82.851774,27.886634],[-82.676512,28.434328],[-82.643651,28.888914],[-82.764143,28.998453],[-82.802482,29.14633],[-82.994175,29.179192],[-83.218729,29.420177],[-83.399469,29.518762],[-83.410422,29.66664],[-83.536392,29.721409],[-83.640454,29.885717],[-84.02384,30.104795],[-84.357933,30.055502],[-84.341502,29.902148],[-84.451041,29.929533],[-84.867289,29.743317],[-85.310921,29.699501],[-85.299967,29.80904],[-85.404029,29.940487],[-85.924338,30.236241],[-86.29677,30.362211],[-86.630863,30.395073],[-86.910187,30.373165],[-87.518128,30.280057],[-87.37025,30.427934],[-87.446927,30.510088],[-87.408589,30.674397],[-87.633143,30.86609],[-87.600282,30.997536],[-85.497137,30.997536]]]}},</t>
  </si>
  <si>
    <t xml:space="preserve">    {"type":"Feature","id":"13","properties":{"name":"Georgia","hv01":131100,"hv02":137900,"hv03":141900,"hv04":149600,"hv05":155300,"hv06":162200,"hv07":161800,"hv08":149100,"hv09":136300,"hv10":126100,"hv11":111800,"hv12":112800,"hv13":123800,"hv14":134900,"hv15":143000,"hv16":154800,"hv17":166900},"geometry":{"type":"Polygon","coordinates":[[[-83.109191,35.00118],[-83.322791,34.787579],[-83.339222,34.683517],[-83.005129,34.469916],[-82.901067,34.486347],[-82.747713,34.26727],[-82.714851,34.152254],[-82.55602,33.94413],[-82.325988,33.81816],[-82.194542,33.631944],[-81.926172,33.462159],[-81.937125,33.347144],[-81.761863,33.160928],[-81.493493,33.007573],[-81.42777,32.843265],[-81.416816,32.629664],[-81.279893,32.558464],[-81.121061,32.290094],[-81.115584,32.120309],[-80.885553,32.032678],[-81.132015,31.693108],[-81.175831,31.517845],[-81.279893,31.364491],[-81.290846,31.20566],[-81.400385,31.13446],[-81.444201,30.707258],[-81.718048,30.745597],[-81.948079,30.827751],[-82.041187,30.751074],[-82.002849,30.564858],[-82.046664,30.362211],[-82.167157,30.356734],[-82.216449,30.570335],[-83.498053,30.647012],[-84.867289,30.712735],[-85.004212,31.003013],[-85.113751,31.27686],[-85.042551,31.539753],[-85.141136,31.840985],[-85.053504,32.01077],[-85.058981,32.13674],[-84.889196,32.262709],[-85.004212,32.322956],[-84.960397,32.421541],[-85.069935,32.580372],[-85.184951,32.859696],[-85.431413,34.124869],[-85.606675,34.984749],[-84.319594,34.990226],[-83.618546,34.984749],[-83.109191,35.00118]]]}},</t>
  </si>
  <si>
    <t xml:space="preserve">    {"type":"Feature","id":"15","properties":{"name":"Hawaii","hv01":229800,"hv02":256500,"hv03":312500,"hv04":413200,"hv05":509400,"hv06":534700,"hv07":518100,"hv08":464600,"hv09":422500,"hv10":416500,"hv11":401900,"hv12":426200,"hv13":464900,"hv14":500700,"hv15":525300,"hv16":567200,"hv17":589300},"geometry":{"type":"MultiPolygon","coordinates":[[[[-155.634835,18.948267],[-155.881297,19.035898],[-155.919636,19.123529],[-155.886774,19.348084],[-156.062036,19.73147],[-155.925113,19.857439],[-155.826528,20.032702],[-155.897728,20.147717],[-155.87582,20.26821],[-155.596496,20.12581],[-155.284311,20.021748],[-155.092618,19.868393],[-155.092618,19.736947],[-154.807817,19.523346],[-154.983079,19.348084],[-155.295265,19.26593],[-155.514342,19.134483],[-155.634835,18.948267]]],[[[-156.587823,21.029505],[-156.472807,20.892581],[-156.324929,20.952827],[-156.00179,20.793996],[-156.051082,20.651596],[-156.379699,20.580396],[-156.445422,20.60778],[-156.461853,20.783042],[-156.631638,20.821381],[-156.697361,20.919966],[-156.587823,21.029505]]],[[[-156.982162,21.210244],[-157.080747,21.106182],[-157.310779,21.106182],[-157.239579,21.221198],[-156.982162,21.210244]]],[[[-157.951581,21.697691],[-157.842042,21.462183],[-157.896811,21.325259],[-158.110412,21.303352],[-158.252813,21.582676],[-158.126843,21.588153],[-157.951581,21.697691]]],[[[-159.468693,22.228955],[-159.353678,22.218001],[-159.298908,22.113939],[-159.33177,21.966061],[-159.446786,21.872953],[-159.764448,21.987969],[-159.726109,22.152277],[-159.468693,22.228955]]]]}},</t>
  </si>
  <si>
    <t xml:space="preserve">    {"type":"Feature","id":"16","properties":{"name":"Idaho","hv01":123700,"hv02":127200,"hv03":132000,"hv04":142100,"hv05":166400,"hv06":188900,"hv07":191600,"hv08":180500,"hv09":165300,"hv10":150900,"hv11":141900,"hv12":148400,"hv13":162800,"hv14":171900,"hv15":182700,"hv16":198200,"hv17":219200},"geometry":{"type":"Polygon","coordinates":[[[-116.04751,49.000239],[-116.04751,47.976051],[-115.724371,47.696727],[-115.718894,47.42288],[-115.527201,47.302388],[-115.324554,47.258572],[-115.302646,47.187372],[-114.930214,46.919002],[-114.886399,46.809463],[-114.623506,46.705401],[-114.612552,46.639678],[-114.322274,46.645155],[-114.464674,46.272723],[-114.492059,46.037214],[-114.387997,45.88386],[-114.568736,45.774321],[-114.497536,45.670259],[-114.546828,45.560721],[-114.333228,45.456659],[-114.086765,45.593582],[-113.98818,45.703121],[-113.807441,45.604536],[-113.834826,45.522382],[-113.736241,45.330689],[-113.571933,45.128042],[-113.45144,45.056842],[-113.456917,44.865149],[-113.341901,44.782995],[-113.133778,44.772041],[-113.002331,44.448902],[-112.887315,44.394132],[-112.783254,44.48724],[-112.471068,44.481763],[-112.241036,44.569394],[-112.104113,44.520102],[-111.868605,44.563917],[-111.819312,44.509148],[-111.616665,44.547487],[-111.386634,44.75561],[-111.227803,44.580348],[-111.047063,44.476286],[-111.047063,42.000709],[-112.164359,41.995232],[-114.04295,41.995232],[-117.027882,42.000709],[-117.027882,43.830007],[-116.896436,44.158624],[-116.97859,44.240778],[-117.170283,44.257209],[-117.241483,44.394132],[-117.038836,44.750133],[-116.934774,44.782995],[-116.830713,44.930872],[-116.847143,45.02398],[-116.732128,45.144473],[-116.671881,45.319735],[-116.463758,45.61549],[-116.545912,45.752413],[-116.78142,45.823614],[-116.918344,45.993399],[-116.92382,46.168661],[-117.055267,46.343923],[-117.038836,46.426077],[-117.044313,47.762451],[-117.033359,49.000239],[-116.04751,49.000239]]]}},</t>
  </si>
  <si>
    <t xml:space="preserve">    {"type":"Feature","id":"17","properties":{"name":"Illinois","hv01":148700,"hv02":158400,"hv03":167700,"hv04":180600,"hv05":194600,"hv06":203200,"hv07":199300,"hv08":181200,"hv09":162600,"hv10":150200,"hv11":136800,"hv12":135100,"hv13":141800,"hv14":149100,"hv15":155800,"hv16":163000,"hv17":171200},"geometry":{"type":"Polygon","coordinates":[[[-90.639984,42.510065],[-88.788778,42.493634],[-87.802929,42.493634],[-87.83579,42.301941],[-87.682436,42.077386],[-87.523605,41.710431],[-87.529082,39.34987],[-87.63862,39.169131],[-87.512651,38.95553],[-87.49622,38.780268],[-87.62219,38.637868],[-87.655051,38.506421],[-87.83579,38.292821],[-87.950806,38.27639],[-87.923421,38.15042],[-88.000098,38.101128],[-88.060345,37.865619],[-88.027483,37.799896],[-88.15893,37.657496],[-88.065822,37.482234],[-88.476592,37.389126],[-88.514931,37.285064],[-88.421823,37.153617],[-88.547792,37.071463],[-88.914747,37.224817],[-89.029763,37.213863],[-89.183118,37.038601],[-89.133825,36.983832],[-89.292656,36.994786],[-89.517211,37.279587],[-89.435057,37.34531],[-89.517211,37.537003],[-89.517211,37.690357],[-89.84035,37.903958],[-89.949889,37.88205],[-90.059428,38.013497],[-90.355183,38.216144],[-90.349706,38.374975],[-90.179921,38.632391],[-90.207305,38.725499],[-90.10872,38.845992],[-90.251121,38.917192],[-90.470199,38.961007],[-90.585214,38.867899],[-90.661891,38.928146],[-90.727615,39.256762],[-91.061708,39.470363],[-91.368417,39.727779],[-91.494386,40.034488],[-91.50534,40.237135],[-91.417709,40.379535],[-91.401278,40.560274],[-91.121954,40.669813],[-91.09457,40.823167],[-90.963123,40.921752],[-90.946692,41.097014],[-91.111001,41.239415],[-91.045277,41.414677],[-90.656414,41.463969],[-90.344229,41.589939],[-90.311367,41.743293],[-90.179921,41.809016],[-90.141582,42.000709],[-90.168967,42.126679],[-90.393521,42.225264],[-90.420906,42.329326],[-90.639984,42.510065]]]}},</t>
  </si>
  <si>
    <t xml:space="preserve">    {"type":"Feature","id":"18","properties":{"name":"Indiana","hv01":103500,"hv02":103600,"hv03":103800,"hv04":107500,"hv05":114800,"hv06":117600,"hv07":117900,"hv08":113800,"hv09":108000,"hv10":108000,"hv11":104300,"hv12":105400,"hv13":104400,"hv14":108100,"hv15":112000,"hv16":119900,"hv17":128000},"geometry":{"type":"Polygon","coordinates":[[[-85.990061,41.759724],[-84.807042,41.759724],[-84.807042,41.694001],[-84.801565,40.500028],[-84.817996,39.103408],[-84.894673,39.059592],[-84.812519,38.785745],[-84.987781,38.780268],[-85.173997,38.68716],[-85.431413,38.730976],[-85.42046,38.533806],[-85.590245,38.451652],[-85.655968,38.325682],[-85.83123,38.27639],[-85.924338,38.024451],[-86.039354,37.958727],[-86.263908,38.051835],[-86.302247,38.166851],[-86.521325,38.040881],[-86.504894,37.931343],[-86.729448,37.893004],[-86.795172,37.991589],[-87.047111,37.893004],[-87.129265,37.788942],[-87.381204,37.93682],[-87.512651,37.903958],[-87.600282,37.975158],[-87.682436,37.903958],[-87.934375,37.893004],[-88.027483,37.799896],[-88.060345,37.865619],[-88.000098,38.101128],[-87.923421,38.15042],[-87.950806,38.27639],[-87.83579,38.292821],[-87.655051,38.506421],[-87.62219,38.637868],[-87.49622,38.780268],[-87.512651,38.95553],[-87.63862,39.169131],[-87.529082,39.34987],[-87.523605,41.710431],[-87.42502,41.644708],[-87.118311,41.644708],[-86.822556,41.759724],[-85.990061,41.759724]]]}},</t>
  </si>
  <si>
    <t xml:space="preserve">    {"type":"Feature","id":"19","properties":{"name":"Iowa","hv01":85500,"hv02":89800,"hv03":93400,"hv04":99300,"hv05":104300,"hv06":108300,"hv07":110900,"hv08":110600,"hv09":111100,"hv10":111200,"hv11":110300,"hv12":112700,"hv13":115800,"hv14":119900,"hv15":124900,"hv16":130000,"hv17":136900},"geometry":{"type":"Polygon","coordinates":[[[-91.368417,43.501391],[-91.215062,43.501391],[-91.204109,43.353514],[-91.056231,43.254929],[-91.176724,43.134436],[-91.143862,42.909881],[-91.067185,42.75105],[-90.711184,42.636034],[-90.639984,42.510065],[-90.420906,42.329326],[-90.393521,42.225264],[-90.168967,42.126679],[-90.141582,42.000709],[-90.179921,41.809016],[-90.311367,41.743293],[-90.344229,41.589939],[-90.656414,41.463969],[-91.045277,41.414677],[-91.111001,41.239415],[-90.946692,41.097014],[-90.963123,40.921752],[-91.09457,40.823167],[-91.121954,40.669813],[-91.401278,40.560274],[-91.417709,40.379535],[-91.527248,40.412397],[-91.729895,40.615043],[-91.833957,40.609566],[-93.257961,40.582182],[-94.632673,40.571228],[-95.7664,40.587659],[-95.881416,40.719105],[-95.826646,40.976521],[-95.925231,41.201076],[-95.919754,41.453015],[-96.095016,41.540646],[-96.122401,41.67757],[-96.062155,41.798063],[-96.127878,41.973325],[-96.264801,42.039048],[-96.44554,42.488157],[-96.631756,42.707235],[-96.544125,42.855112],[-96.511264,43.052282],[-96.434587,43.123482],[-96.560556,43.222067],[-96.527695,43.397329],[-96.582464,43.479483],[-96.451017,43.501391],[-91.368417,43.501391]]]}},</t>
  </si>
  <si>
    <t xml:space="preserve">    {"type":"Feature","id":"20","properties":{"name":"Kansas","hv01":97600,"hv02":99200,"hv03":102500,"hv04":111400,"hv05":111900,"hv06":115100,"hv07":119100,"hv08":116500,"hv09":114900,"hv10":113300,"hv11":108700,"hv12":108900,"hv13":110800,"hv14":113800,"hv15":117000,"hv16":124700,"hv17":131400},"geometry":{"type":"Polygon","coordinates":[[[-101.90605,40.001626],[-95.306337,40.001626],[-95.207752,39.908518],[-94.884612,39.831841],[-95.109167,39.541563],[-94.983197,39.442978],[-94.824366,39.20747],[-94.610765,39.158177],[-94.616242,37.000263],[-100.087706,37.000263],[-102.042974,36.994786],[-102.053927,40.001626],[-101.90605,40.001626]]]}},</t>
  </si>
  <si>
    <t xml:space="preserve">    {"type":"Feature","id":"21","properties":{"name":"Kentucky","hv01":94300,"hv02":99500,"hv03":104300,"hv04":109300,"hv05":111100,"hv06":116700,"hv07":115600,"hv08":114000,"hv09":112900,"hv10":114600,"hv11":110700,"hv12":111100,"hv13":112500,"hv14":114800,"hv15":119900,"hv16":126700,"hv17":135000},"geometry":{"type":"Polygon","coordinates":[[[-83.903347,38.769315],[-83.678792,38.632391],[-83.519961,38.703591],[-83.142052,38.626914],[-83.032514,38.725499],[-82.890113,38.758361],[-82.846298,38.588575],[-82.731282,38.561191],[-82.594358,38.424267],[-82.621743,38.123036],[-82.50125,37.931343],[-82.342419,37.783465],[-82.293127,37.668449],[-82.101434,37.553434],[-81.969987,37.537003],[-82.353373,37.268633],[-82.720328,37.120755],[-82.720328,37.044078],[-82.868205,36.978355],[-82.879159,36.890724],[-83.070852,36.852385],[-83.136575,36.742847],[-83.673316,36.600446],[-83.689746,36.584015],[-84.544149,36.594969],[-85.289013,36.627831],[-85.486183,36.616877],[-86.592525,36.655216],[-87.852221,36.633308],[-88.071299,36.677123],[-88.054868,36.496384],[-89.298133,36.507338],[-89.418626,36.496384],[-89.363857,36.622354],[-89.215979,36.578538],[-89.133825,36.983832],[-89.183118,37.038601],[-89.029763,37.213863],[-88.914747,37.224817],[-88.547792,37.071463],[-88.421823,37.153617],[-88.514931,37.285064],[-88.476592,37.389126],[-88.065822,37.482234],[-88.15893,37.657496],[-88.027483,37.799896],[-87.934375,37.893004],[-87.682436,37.903958],[-87.600282,37.975158],[-87.512651,37.903958],[-87.381204,37.93682],[-87.129265,37.788942],[-87.047111,37.893004],[-86.795172,37.991589],[-86.729448,37.893004],[-86.504894,37.931343],[-86.521325,38.040881],[-86.302247,38.166851],[-86.263908,38.051835],[-86.039354,37.958727],[-85.924338,38.024451],[-85.83123,38.27639],[-85.655968,38.325682],[-85.590245,38.451652],[-85.42046,38.533806],[-85.431413,38.730976],[-85.173997,38.68716],[-84.987781,38.780268],[-84.812519,38.785745],[-84.894673,39.059592],[-84.817996,39.103408],[-84.43461,39.103408],[-84.231963,38.895284],[-84.215533,38.807653],[-83.903347,38.769315]]]}},</t>
  </si>
  <si>
    <t xml:space="preserve">    {"type":"Feature","id":"22","properties":{"name":"Louisiana","hv01":89100,"hv02":91800,"hv03":98800,"hv04":104200,"hv05":111600,"hv06":118900,"hv07":123800,"hv08":124700,"hv09":125400,"hv10":123900,"hv11":118800,"hv12":119000,"hv13":122000,"hv14":125300,"hv15":129300,"hv16":137500,"hv17":142300},"geometry":{"type":"Polygon","coordinates":[[[-93.608485,33.018527],[-91.16577,33.002096],[-91.072662,32.887081],[-91.143862,32.843265],[-91.154816,32.640618],[-91.006939,32.514649],[-90.985031,32.218894],[-91.105524,31.988862],[-91.341032,31.846462],[-91.401278,31.621907],[-91.499863,31.643815],[-91.516294,31.27686],[-91.636787,31.265906],[-91.565587,31.068736],[-91.636787,30.997536],[-89.747242,30.997536],[-89.845827,30.66892],[-89.681519,30.449842],[-89.643181,30.285534],[-89.522688,30.181472],[-89.818443,30.044549],[-89.84035,29.945964],[-89.599365,29.88024],[-89.495303,30.039072],[-89.287179,29.88024],[-89.30361,29.754271],[-89.424103,29.699501],[-89.648657,29.748794],[-89.621273,29.655686],[-89.69795,29.513285],[-89.506257,29.387316],[-89.199548,29.348977],[-89.09001,29.2011],[-89.002379,29.179192],[-89.16121,29.009407],[-89.336472,29.042268],[-89.484349,29.217531],[-89.851304,29.310638],[-89.851304,29.480424],[-90.032043,29.425654],[-90.021089,29.283254],[-90.103244,29.151807],[-90.23469,29.129899],[-90.333275,29.277777],[-90.563307,29.283254],[-90.645461,29.129899],[-90.798815,29.086084],[-90.963123,29.179192],[-91.09457,29.190146],[-91.220539,29.436608],[-91.445094,29.546147],[-91.532725,29.529716],[-91.620356,29.73784],[-91.883249,29.710455],[-91.888726,29.836425],[-92.146142,29.715932],[-92.113281,29.622824],[-92.31045,29.535193],[-92.617159,29.579009],[-92.97316,29.715932],[-93.2251,29.776178],[-93.767317,29.726886],[-93.838517,29.688547],[-93.926148,29.787132],[-93.690639,30.143133],[-93.767317,30.334826],[-93.696116,30.438888],[-93.728978,30.575812],[-93.630393,30.679874],[-93.526331,30.93729],[-93.542762,31.15089],[-93.816609,31.556184],[-93.822086,31.775262],[-94.041164,31.994339],[-94.041164,33.018527],[-93.608485,33.018527]]]}},</t>
  </si>
  <si>
    <t xml:space="preserve">    {"type":"Feature","id":"23","properties":{"name":"Maine","hv01":130900,"hv02":145200,"hv03":164500,"hv04":186600,"hv05":201800,"hv06":200100,"hv07":197800,"hv08":177500,"hv09":171800,"hv10":174700,"hv11":168300,"hv12":173100,"hv13":176800,"hv14":182600,"hv15":187400,"hv16":201700,"hv17":216600},"geometry":{"type":"Polygon","coordinates":[[[-70.703921,43.057759],[-70.824413,43.128959],[-70.807983,43.227544],[-70.966814,43.34256],[-71.032537,44.657025],[-71.08183,45.303304],[-70.649151,45.440228],[-70.720352,45.511428],[-70.556043,45.664782],[-70.386258,45.735983],[-70.41912,45.796229],[-70.260289,45.889337],[-70.309581,46.064599],[-70.210996,46.327492],[-70.057642,46.415123],[-69.997395,46.694447],[-69.225147,47.461219],[-69.044408,47.428357],[-69.033454,47.242141],[-68.902007,47.176418],[-68.578868,47.285957],[-68.376221,47.285957],[-68.233821,47.357157],[-67.954497,47.198326],[-67.790188,47.066879],[-67.779235,45.944106],[-67.801142,45.675736],[-67.456095,45.604536],[-67.505388,45.48952],[-67.417757,45.379982],[-67.488957,45.281397],[-67.346556,45.128042],[-67.16034,45.160904],[-66.979601,44.804903],[-67.187725,44.646072],[-67.308218,44.706318],[-67.406803,44.596779],[-67.549203,44.624164],[-67.565634,44.531056],[-67.75185,44.54201],[-68.047605,44.328409],[-68.118805,44.476286],[-68.222867,44.48724],[-68.173574,44.328409],[-68.403606,44.251732],[-68.458375,44.377701],[-68.567914,44.311978],[-68.82533,44.311978],[-68.830807,44.459856],[-68.984161,44.426994],[-68.956777,44.322932],[-69.099177,44.103854],[-69.071793,44.043608],[-69.258008,43.923115],[-69.444224,43.966931],[-69.553763,43.840961],[-69.707118,43.82453],[-69.833087,43.720469],[-69.986442,43.742376],[-70.030257,43.851915],[-70.254812,43.676653],[-70.194565,43.567114],[-70.358873,43.528776],[-70.369827,43.435668],[-70.556043,43.320652],[-70.703921,43.057759]]]}},</t>
  </si>
  <si>
    <t xml:space="preserve">    {"type":"Feature","id":"24","properties":{"name":"Maryland","hv01":159100,"hv02":181200,"hv03":211800,"hv04":263900,"hv05":317000,"hv06":334800,"hv07":317100,"hv08":278800,"hv09":251600,"hv10":237600,"hv11":222200,"hv12":229000,"hv13":241700,"hv14":247700,"hv15":252900,"hv16":265000,"hv17":275800},"geometry":{"type":"MultiPolygon","coordinates":[[[[-75.994645,37.95325],[-76.016553,37.95325],[-76.043938,37.95325],[-75.994645,37.95325]]],[[[-79.477979,39.722302],[-75.786521,39.722302],[-75.693413,38.462606],[-75.047134,38.451652],[-75.244304,38.029928],[-75.397659,38.013497],[-75.671506,37.95325],[-75.885106,37.909435],[-75.879629,38.073743],[-75.961783,38.139466],[-75.846768,38.210667],[-76.000122,38.374975],[-76.049415,38.303775],[-76.257538,38.320205],[-76.328738,38.500944],[-76.263015,38.500944],[-76.257538,38.736453],[-76.191815,38.829561],[-76.279446,39.147223],[-76.169907,39.333439],[-76.000122,39.366301],[-75.972737,39.557994],[-76.098707,39.536086],[-76.104184,39.437501],[-76.367077,39.311532],[-76.443754,39.196516],[-76.460185,38.906238],[-76.55877,38.769315],[-76.514954,38.539283],[-76.383508,38.380452],[-76.399939,38.259959],[-76.317785,38.139466],[-76.3616,38.057312],[-76.591632,38.216144],[-76.920248,38.292821],[-77.018833,38.446175],[-77.205049,38.358544],[-77.276249,38.479037],[-77.128372,38.632391],[-77.040741,38.791222],[-76.909294,38.895284],[-77.035264,38.993869],[-77.117418,38.933623],[-77.248864,39.026731],[-77.456988,39.076023],[-77.456988,39.223901],[-77.566527,39.306055],[-77.719881,39.322485],[-77.834897,39.601809],[-78.004682,39.601809],[-78.174467,39.694917],[-78.267575,39.61824],[-78.431884,39.623717],[-78.470222,39.514178],[-78.765977,39.585379],[-78.963147,39.437501],[-79.094593,39.470363],[-79.291763,39.300578],[-79.488933,39.20747],[-79.477979,39.722302]]]]}},</t>
  </si>
  <si>
    <t xml:space="preserve">    {"type":"Feature","id":"25","properties":{"name":"Massachusetts","hv01":252800,"hv02":287300,"hv03":316300,"hv04":347600,"hv05":359600,"hv06":340400,"hv07":323900,"hv08":300700,"hv09":292500,"hv10":288200,"hv11":276600,"hv12":284300,"hv13":305300,"hv14":319700,"hv15":333700,"hv16":358100,"hv17":384000},"geometry":{"type":"Polygon","coordinates":[[[-70.917521,42.887974],[-70.818936,42.871543],[-70.780598,42.696281],[-70.824413,42.55388],[-70.983245,42.422434],[-70.988722,42.269079],[-70.769644,42.247172],[-70.638197,42.08834],[-70.660105,41.962371],[-70.550566,41.929509],[-70.539613,41.814493],[-70.260289,41.715908],[-69.937149,41.809016],[-70.008349,41.672093],[-70.484843,41.5516],[-70.660105,41.546123],[-70.764167,41.639231],[-70.928475,41.611847],[-70.933952,41.540646],[-71.120168,41.496831],[-71.196845,41.67757],[-71.22423,41.710431],[-71.328292,41.781632],[-71.383061,42.01714],[-71.530939,42.01714],[-71.799309,42.006186],[-71.799309,42.022617],[-73.053528,42.039048],[-73.486206,42.050002],[-73.508114,42.08834],[-73.267129,42.745573],[-72.456542,42.729142],[-71.29543,42.696281],[-71.185891,42.789389],[-70.917521,42.887974]]]}},</t>
  </si>
  <si>
    <t xml:space="preserve">    {"type":"Feature","id":"26","properties":{"name":"Michigan","hv01":117100,"hv02":123100,"hv03":127300,"hv04":133400,"hv05":137300,"hv06":134400,"hv07":124200,"hv08":107000,"hv09":92000,"hv10":86600,"hv11":81800,"hv12":87000,"hv13":97500,"hv14":107400,"hv15":116600,"hv16":127000,"hv17":137500},"geometry":{"type":"MultiPolygon","coordinates":[[[[-83.454238,41.732339],[-84.807042,41.694001],[-84.807042,41.759724],[-85.990061,41.759724],[-86.822556,41.759724],[-86.619909,41.891171],[-86.482986,42.115725],[-86.357016,42.252649],[-86.263908,42.444341],[-86.209139,42.718189],[-86.231047,43.013943],[-86.526801,43.594499],[-86.433693,43.813577],[-86.499417,44.07647],[-86.269385,44.34484],[-86.220093,44.569394],[-86.252954,44.689887],[-86.088646,44.73918],[-86.066738,44.903488],[-85.809322,44.947303],[-85.612152,45.128042],[-85.628583,44.766564],[-85.524521,44.750133],[-85.393075,44.930872],[-85.387598,45.237581],[-85.305444,45.314258],[-85.031597,45.363551],[-85.119228,45.577151],[-84.938489,45.75789],[-84.713934,45.768844],[-84.461995,45.653829],[-84.215533,45.637398],[-84.09504,45.494997],[-83.908824,45.484043],[-83.596638,45.352597],[-83.4871,45.358074],[-83.317314,45.144473],[-83.454238,45.029457],[-83.322791,44.88158],[-83.273499,44.711795],[-83.333745,44.339363],[-83.536392,44.246255],[-83.585684,44.054562],[-83.82667,43.988839],[-83.958116,43.758807],[-83.908824,43.671176],[-83.667839,43.589022],[-83.481623,43.714992],[-83.262545,43.972408],[-82.917498,44.070993],[-82.747713,43.994316],[-82.643651,43.851915],[-82.539589,43.435668],[-82.523158,43.227544],[-82.413619,42.975605],[-82.517681,42.614127],[-82.681989,42.559357],[-82.687466,42.690804],[-82.797005,42.652465],[-82.922975,42.351234],[-83.125621,42.236218],[-83.185868,42.006186],[-83.437807,41.814493],[-83.454238,41.732339]]],[[[-85.508091,45.730506],[-85.49166,45.610013],[-85.623106,45.588105],[-85.568337,45.75789],[-85.508091,45.730506]]],[[[-87.589328,45.095181],[-87.742682,45.199243],[-87.649574,45.341643],[-87.885083,45.363551],[-87.791975,45.500474],[-87.781021,45.675736],[-87.989145,45.796229],[-88.10416,45.922199],[-88.531362,46.020784],[-88.662808,45.987922],[-89.09001,46.135799],[-90.119674,46.338446],[-90.229213,46.508231],[-90.415429,46.568478],[-90.026566,46.672539],[-89.851304,46.793032],[-89.413149,46.842325],[-89.128348,46.990202],[-88.996902,46.995679],[-88.887363,47.099741],[-88.575177,47.247618],[-88.416346,47.373588],[-88.180837,47.455742],[-87.956283,47.384542],[-88.350623,47.077833],[-88.443731,46.973771],[-88.438254,46.787555],[-88.246561,46.929956],[-87.901513,46.908048],[-87.633143,46.809463],[-87.392158,46.535616],[-87.260711,46.486323],[-87.008772,46.530139],[-86.948526,46.469893],[-86.696587,46.437031],[-86.159846,46.667063],[-85.880522,46.68897],[-85.508091,46.678016],[-85.256151,46.754694],[-85.064458,46.760171],[-85.02612,46.480847],[-84.82895,46.442508],[-84.63178,46.486323],[-84.549626,46.4206],[-84.418179,46.502754],[-84.127902,46.530139],[-84.122425,46.179615],[-83.990978,46.031737],[-83.793808,45.993399],[-83.7719,46.091984],[-83.580208,46.091984],[-83.476146,45.987922],[-83.563777,45.911245],[-84.111471,45.976968],[-84.374364,45.933153],[-84.659165,46.053645],[-84.741319,45.944106],[-84.70298,45.850998],[-84.82895,45.872906],[-85.015166,46.00983],[-85.338305,46.091984],[-85.502614,46.097461],[-85.661445,45.966014],[-85.924338,45.933153],[-86.209139,45.960537],[-86.324155,45.905768],[-86.351539,45.796229],[-86.663725,45.703121],[-86.647294,45.834568],[-86.784218,45.861952],[-86.838987,45.725029],[-87.069019,45.719552],[-87.17308,45.659305],[-87.326435,45.423797],[-87.611236,45.122565],[-87.589328,45.095181]]],[[[-88.805209,47.976051],[-89.057148,47.850082],[-89.188594,47.833651],[-89.177641,47.937713],[-88.547792,48.173221],[-88.668285,48.008913],[-88.805209,47.976051]]]]}},</t>
  </si>
  <si>
    <t xml:space="preserve">    {"type":"Feature","id":"27","properties":{"name":"Minnesota","hv01":155400,"hv02":170400,"hv03":184300,"hv04":198300,"hv05":209200,"hv06":206400,"hv07":197600,"hv08":177800,"hv09":166700,"hv10":157600,"hv11":147300,"hv12":155300,"hv13":169000,"hv14":176600,"hv15":187600,"hv16":202400,"hv17":218700},"geometry":{"type":"Polygon","coordinates":[[[-92.014696,46.705401],[-92.091373,46.749217],[-92.29402,46.667063],[-92.29402,46.075553],[-92.354266,46.015307],[-92.639067,45.933153],[-92.869098,45.719552],[-92.885529,45.577151],[-92.770513,45.566198],[-92.644544,45.440228],[-92.75956,45.286874],[-92.737652,45.117088],[-92.808852,44.750133],[-92.545959,44.569394],[-92.337835,44.552964],[-92.233773,44.443425],[-91.927065,44.333886],[-91.877772,44.202439],[-91.592971,44.032654],[-91.43414,43.994316],[-91.242447,43.775238],[-91.269832,43.616407],[-91.215062,43.501391],[-91.368417,43.501391],[-96.451017,43.501391],[-96.451017,45.297827],[-96.681049,45.412843],[-96.856311,45.604536],[-96.582464,45.818137],[-96.560556,45.933153],[-96.598895,46.332969],[-96.719387,46.437031],[-96.801542,46.656109],[-96.785111,46.924479],[-96.823449,46.968294],[-96.856311,47.609096],[-97.053481,47.948667],[-97.130158,48.140359],[-97.16302,48.545653],[-97.097296,48.682577],[-97.228743,49.000239],[-95.152983,49.000239],[-95.152983,49.383625],[-94.955813,49.372671],[-94.824366,49.295994],[-94.69292,48.775685],[-94.588858,48.715438],[-94.260241,48.699007],[-94.221903,48.649715],[-93.838517,48.627807],[-93.794701,48.518268],[-93.466085,48.545653],[-93.466085,48.589469],[-93.208669,48.644238],[-92.984114,48.62233],[-92.726698,48.540176],[-92.655498,48.436114],[-92.50762,48.447068],[-92.370697,48.222514],[-92.304974,48.315622],[-92.053034,48.359437],[-92.009219,48.266329],[-91.713464,48.200606],[-91.713464,48.112975],[-91.565587,48.041775],[-91.264355,48.080113],[-91.083616,48.178698],[-90.837154,48.238944],[-90.749522,48.091067],[-90.579737,48.123929],[-90.377091,48.091067],[-90.141582,48.112975],[-89.873212,47.987005],[-89.615796,48.008913],[-89.637704,47.954144],[-89.971797,47.828174],[-90.437337,47.729589],[-90.738569,47.625527],[-91.171247,47.368111],[-91.357463,47.20928],[-91.642264,47.028541],[-92.091373,46.787555],[-92.014696,46.705401]]]}},</t>
  </si>
  <si>
    <t xml:space="preserve">    {"type":"Feature","id":"28","properties":{"name":"Mississippi","hv01":68500,"hv02":69700,"hv03":69800,"hv04":82500,"hv05":100500,"hv06":114300,"hv07":115600,"hv08":111100,"hv09":110500,"hv10":114700,"hv11":105200,"hv12":102900,"hv13":99100,"hv14":99700,"hv15":106600,"hv16":114700,"hv17":117000},"geometry":{"type":"Polygon","coordinates":[[[-88.471115,34.995703],[-88.202745,34.995703],[-88.098683,34.891641],[-88.241084,33.796253],[-88.471115,31.895754],[-88.394438,30.367688],[-88.503977,30.323872],[-88.744962,30.34578],[-88.843547,30.411504],[-89.084533,30.367688],[-89.418626,30.252672],[-89.522688,30.181472],[-89.643181,30.285534],[-89.681519,30.449842],[-89.845827,30.66892],[-89.747242,30.997536],[-91.636787,30.997536],[-91.565587,31.068736],[-91.636787,31.265906],[-91.516294,31.27686],[-91.499863,31.643815],[-91.401278,31.621907],[-91.341032,31.846462],[-91.105524,31.988862],[-90.985031,32.218894],[-91.006939,32.514649],[-91.154816,32.640618],[-91.143862,32.843265],[-91.072662,32.887081],[-91.16577,33.002096],[-91.089093,33.13902],[-91.143862,33.347144],[-91.056231,33.429298],[-91.231493,33.560744],[-91.072662,33.867453],[-90.891923,34.026284],[-90.952169,34.135823],[-90.744046,34.300131],[-90.749522,34.365854],[-90.568783,34.420624],[-90.585214,34.617794],[-90.481152,34.661609],[-90.409952,34.831394],[-90.251121,34.908072],[-90.311367,34.995703],[-88.471115,34.995703]]]}},</t>
  </si>
  <si>
    <t xml:space="preserve">    {"type":"Feature","id":"29","properties":{"name":"Missouri","hv01":112400,"hv02":119600,"hv03":125000,"hv04":128400,"hv05":135700,"hv06":139600,"hv07":138800,"hv08":134700,"hv09":130100,"hv10":127000,"hv11":121800,"hv12":122000,"hv13":124500,"hv14":126600,"hv15":132700,"hv16":138900,"hv17":147100},"geometry":{"type":"Polygon","coordinates":[[[-91.833957,40.609566],[-91.729895,40.615043],[-91.527248,40.412397],[-91.417709,40.379535],[-91.50534,40.237135],[-91.494386,40.034488],[-91.368417,39.727779],[-91.061708,39.470363],[-90.727615,39.256762],[-90.661891,38.928146],[-90.585214,38.867899],[-90.470199,38.961007],[-90.251121,38.917192],[-90.10872,38.845992],[-90.207305,38.725499],[-90.179921,38.632391],[-90.349706,38.374975],[-90.355183,38.216144],[-90.059428,38.013497],[-89.949889,37.88205],[-89.84035,37.903958],[-89.517211,37.690357],[-89.517211,37.537003],[-89.435057,37.34531],[-89.517211,37.279587],[-89.292656,36.994786],[-89.133825,36.983832],[-89.215979,36.578538],[-89.363857,36.622354],[-89.418626,36.496384],[-89.484349,36.496384],[-89.539119,36.496384],[-89.533642,36.249922],[-89.730812,35.997983],[-90.377091,35.997983],[-90.218259,36.184199],[-90.064905,36.304691],[-90.152536,36.496384],[-94.473842,36.501861],[-94.616242,36.501861],[-94.616242,37.000263],[-94.610765,39.158177],[-94.824366,39.20747],[-94.983197,39.442978],[-95.109167,39.541563],[-94.884612,39.831841],[-95.207752,39.908518],[-95.306337,40.001626],[-95.552799,40.264519],[-95.7664,40.587659],[-94.632673,40.571228],[-93.257961,40.582182],[-91.833957,40.609566]]]}},</t>
  </si>
  <si>
    <t xml:space="preserve">    {"type":"Feature","id":"30","properties":{"name":"Montana","hv01":141400,"hv02":146200,"hv03":138400,"hv04":149800,"hv05":161000,"hv06":173000,"hv07":180600,"hv08":182400,"hv09":180700,"hv10":180500,"hv11":178100,"hv12":182600,"hv13":187500,"hv14":192300,"hv15":197300,"hv16":208400,"hv17":214500},"geometry":{"type":"Polygon","coordinates":[[[-104.047534,49.000239],[-104.042057,47.861036],[-104.047534,45.944106],[-104.042057,44.996596],[-104.058488,44.996596],[-105.91517,45.002073],[-109.080842,45.002073],[-111.05254,45.002073],[-111.047063,44.476286],[-111.227803,44.580348],[-111.386634,44.75561],[-111.616665,44.547487],[-111.819312,44.509148],[-111.868605,44.563917],[-112.104113,44.520102],[-112.241036,44.569394],[-112.471068,44.481763],[-112.783254,44.48724],[-112.887315,44.394132],[-113.002331,44.448902],[-113.133778,44.772041],[-113.341901,44.782995],[-113.456917,44.865149],[-113.45144,45.056842],[-113.571933,45.128042],[-113.736241,45.330689],[-113.834826,45.522382],[-113.807441,45.604536],[-113.98818,45.703121],[-114.086765,45.593582],[-114.333228,45.456659],[-114.546828,45.560721],[-114.497536,45.670259],[-114.568736,45.774321],[-114.387997,45.88386],[-114.492059,46.037214],[-114.464674,46.272723],[-114.322274,46.645155],[-114.612552,46.639678],[-114.623506,46.705401],[-114.886399,46.809463],[-114.930214,46.919002],[-115.302646,47.187372],[-115.324554,47.258572],[-115.527201,47.302388],[-115.718894,47.42288],[-115.724371,47.696727],[-116.04751,47.976051],[-116.04751,49.000239],[-111.50165,48.994762],[-109.453274,49.000239],[-104.047534,49.000239]]]}},</t>
  </si>
  <si>
    <t xml:space="preserve">    {"type":"Feature","id":"31","properties":{"name":"Nebraska","hv01":93100,"hv02":97000,"hv03":104200,"hv04":112200,"hv05":117400,"hv06":121100,"hv07":120600,"hv08":118200,"hv09":118600,"hv10":117800,"hv11":116400,"hv12":120000,"hv13":123400,"hv14":127600,"hv15":134500,"hv16":141900,"hv17":152000},"geometry":{"type":"Polygon","coordinates":[[[-103.324578,43.002989],[-101.626726,42.997512],[-98.499393,42.997512],[-98.466531,42.94822],[-97.951699,42.767481],[-97.831206,42.866066],[-97.688806,42.844158],[-97.217789,42.844158],[-96.692003,42.657942],[-96.626279,42.515542],[-96.44554,42.488157],[-96.264801,42.039048],[-96.127878,41.973325],[-96.062155,41.798063],[-96.122401,41.67757],[-96.095016,41.540646],[-95.919754,41.453015],[-95.925231,41.201076],[-95.826646,40.976521],[-95.881416,40.719105],[-95.7664,40.587659],[-95.552799,40.264519],[-95.306337,40.001626],[-101.90605,40.001626],[-102.053927,40.001626],[-102.053927,41.003906],[-104.053011,41.003906],[-104.053011,43.002989],[-103.324578,43.002989]]]}},</t>
  </si>
  <si>
    <t xml:space="preserve">    {"type":"Feature","id":"32","properties":{"name":"Nevada","hv01":156600,"hv02":167200,"hv03":197900,"hv04":280800,"hv05":312900,"hv06":307900,"hv07":268100,"hv08":201600,"hv09":154000,"hv10":140900,"hv11":126800,"hv12":141200,"hv13":175400,"hv14":193500,"hv15":211400,"hv16":230500,"hv17":258600},"geometry":{"type":"Polygon","coordinates":[[[-117.027882,42.000709],[-114.04295,41.995232],[-114.048427,37.000263],[-114.048427,36.195153],[-114.152489,36.025367],[-114.251074,36.01989],[-114.371566,36.140383],[-114.738521,36.102045],[-114.678275,35.516012],[-114.596121,35.324319],[-114.574213,35.138103],[-114.634459,35.00118],[-115.85034,35.970598],[-116.540435,36.501861],[-117.498899,37.21934],[-118.71478,38.101128],[-120.001861,38.999346],[-119.996384,40.264519],[-120.001861,41.995232],[-118.698349,41.989755],[-117.027882,42.000709]]]}},</t>
  </si>
  <si>
    <t xml:space="preserve">    {"type":"Feature","id":"33","properties":{"name":"New Hampshire","hv01":169700,"hv02":192300,"hv03":218400,"hv04":243900,"hv05":260300,"hv06":254400,"hv07":243800,"hv08":225100,"hv09":213600,"hv10":206000,"hv11":196000,"hv12":198600,"hv13":208500,"hv14":215900,"hv15":225100,"hv16":237000,"hv17":255100},"geometry":{"type":"Polygon","coordinates":[[[-71.08183,45.303304],[-71.032537,44.657025],[-70.966814,43.34256],[-70.807983,43.227544],[-70.824413,43.128959],[-70.703921,43.057759],[-70.818936,42.871543],[-70.917521,42.887974],[-71.185891,42.789389],[-71.29543,42.696281],[-72.456542,42.729142],[-72.544173,42.80582],[-72.533219,42.953697],[-72.445588,43.008466],[-72.456542,43.150867],[-72.379864,43.572591],[-72.204602,43.769761],[-72.116971,43.994316],[-72.02934,44.07647],[-72.034817,44.322932],[-71.700724,44.41604],[-71.536416,44.585825],[-71.629524,44.750133],[-71.4926,44.914442],[-71.503554,45.013027],[-71.361154,45.270443],[-71.131122,45.243058],[-71.08183,45.303304]]]}},</t>
  </si>
  <si>
    <t xml:space="preserve">    {"type":"Feature","id":"34","properties":{"name":"New Jersey","hv01":202000,"hv02":238000,"hv03":273300,"hv04":315100,"hv05":360500,"hv06":372800,"hv07":356300,"hv08":324600,"hv09":299800,"hv10":283300,"hv11":263300,"hv12":256000,"hv13":265300,"hv14":272200,"hv15":274700,"hv16":280200,"hv17":306600},"geometry":{"type":"Polygon","coordinates":[[[-74.236547,41.14083],[-73.902454,40.998429],[-74.022947,40.708151],[-74.187255,40.642428],[-74.274886,40.489074],[-74.001039,40.412397],[-73.979131,40.297381],[-74.099624,39.760641],[-74.411809,39.360824],[-74.614456,39.245808],[-74.795195,38.993869],[-74.888303,39.158177],[-75.178581,39.240331],[-75.534582,39.459409],[-75.55649,39.607286],[-75.561967,39.629194],[-75.507197,39.683964],[-75.414089,39.804456],[-75.145719,39.88661],[-75.129289,39.963288],[-74.82258,40.127596],[-74.773287,40.215227],[-75.058088,40.417874],[-75.069042,40.543843],[-75.195012,40.576705],[-75.205966,40.691721],[-75.052611,40.866983],[-75.134765,40.971045],[-74.882826,41.179168],[-74.828057,41.288707],[-74.69661,41.359907],[-74.236547,41.14083]]]}},</t>
  </si>
  <si>
    <t xml:space="preserve">    {"type":"Feature","id":"35","properties":{"name":"New Mexico","hv01":135800,"hv02":137400,"hv03":149200,"hv04":151600,"hv05":157300,"hv06":178900,"hv07":184200,"hv08":180500,"hv09":175000,"hv10":167400,"hv11":156700,"hv12":153700,"hv13":154300,"hv14":157100,"hv15":164000,"hv16":170600,"hv17":179000},"geometry":{"type":"Polygon","coordinates":[[[-107.421329,37.000263],[-106.868158,36.994786],[-104.337812,36.994786],[-103.001438,37.000263],[-103.001438,36.501861],[-103.039777,36.501861],[-103.045254,34.01533],[-103.067161,33.002096],[-103.067161,31.999816],[-106.616219,31.999816],[-106.643603,31.901231],[-106.528588,31.786216],[-108.210008,31.786216],[-108.210008,31.331629],[-109.04798,31.331629],[-109.042503,37.000263],[-107.421329,37.000263]]]}},</t>
  </si>
  <si>
    <t xml:space="preserve">    {"type":"Feature","id":"36","properties":{"name":"New York","hv01":169800,"hv02":191600,"hv03":223700,"hv04":258200,"hv05":291900,"hv06":303600,"hv07":299600,"hv08":273100,"hv09":257200,"hv10":245500,"hv11":234100,"hv12":231400,"hv13":238800,"hv14":244400,"hv15":251300,"hv16":261800,"hv17":277400},"geometry":{"type":"Polygon","coordinates":[[[-73.343806,45.013027],[-73.332852,44.804903],[-73.387622,44.618687],[-73.294514,44.437948],[-73.321898,44.246255],[-73.436914,44.043608],[-73.349283,43.769761],[-73.404052,43.687607],[-73.245221,43.523299],[-73.278083,42.833204],[-73.267129,42.745573],[-73.508114,42.08834],[-73.486206,42.050002],[-73.55193,41.294184],[-73.48073,41.21203],[-73.727192,41.102491],[-73.655992,40.987475],[-73.22879,40.905321],[-73.141159,40.965568],[-72.774204,40.965568],[-72.587988,40.998429],[-72.28128,41.157261],[-72.259372,41.042245],[-72.100541,40.992952],[-72.467496,40.845075],[-73.239744,40.625997],[-73.562884,40.582182],[-73.776484,40.593136],[-73.935316,40.543843],[-74.022947,40.708151],[-73.902454,40.998429],[-74.236547,41.14083],[-74.69661,41.359907],[-74.740426,41.431108],[-74.89378,41.436584],[-75.074519,41.60637],[-75.052611,41.754247],[-75.173104,41.869263],[-75.249781,41.863786],[-75.35932,42.000709],[-79.76278,42.000709],[-79.76278,42.252649],[-79.76278,42.269079],[-79.149363,42.55388],[-79.050778,42.690804],[-78.853608,42.783912],[-78.930285,42.953697],[-79.012439,42.986559],[-79.072686,43.260406],[-78.486653,43.375421],[-77.966344,43.369944],[-77.75822,43.34256],[-77.533665,43.233021],[-77.391265,43.276836],[-76.958587,43.271359],[-76.695693,43.34256],[-76.41637,43.523299],[-76.235631,43.528776],[-76.230154,43.802623],[-76.137046,43.961454],[-76.3616,44.070993],[-76.312308,44.196962],[-75.912491,44.366748],[-75.764614,44.514625],[-75.282643,44.848718],[-74.828057,45.018503],[-74.148916,44.991119],[-73.343806,45.013027]]]}},</t>
  </si>
  <si>
    <t xml:space="preserve">    {"type":"Feature","id":"37","properties":{"name":"North Carolina","hv01":116300,"hv02":120500,"hv03":126100,"hv04":134000,"hv05":140900,"hv06":150500,"hv07":154000,"hv08":149500,"hv09":144500,"hv10":140000,"hv11":134800,"hv12":134900,"hv13":139000,"hv14":142000,"hv15":147300,"hv16":157300,"hv17":167100},"geometry":{"type":"Polygon","coordinates":[[[-80.978661,36.562108],[-80.294043,36.545677],[-79.510841,36.5402],[-75.868676,36.551154],[-75.75366,36.151337],[-76.032984,36.189676],[-76.071322,36.140383],[-76.410893,36.080137],[-76.460185,36.025367],[-76.68474,36.008937],[-76.673786,35.937736],[-76.399939,35.987029],[-76.3616,35.943213],[-76.060368,35.992506],[-75.961783,35.899398],[-75.781044,35.937736],[-75.715321,35.696751],[-75.775568,35.581735],[-75.89606,35.570781],[-76.147999,35.324319],[-76.482093,35.313365],[-76.536862,35.14358],[-76.394462,34.973795],[-76.279446,34.940933],[-76.493047,34.661609],[-76.673786,34.694471],[-76.991448,34.667086],[-77.210526,34.60684],[-77.555573,34.415147],[-77.82942,34.163208],[-77.971821,33.845545],[-78.179944,33.916745],[-78.541422,33.851022],[-79.675149,34.80401],[-80.797922,34.820441],[-80.781491,34.935456],[-80.934845,35.105241],[-81.038907,35.044995],[-81.044384,35.149057],[-82.276696,35.198349],[-82.550543,35.160011],[-82.764143,35.066903],[-83.109191,35.00118],[-83.618546,34.984749],[-84.319594,34.990226],[-84.29221,35.225734],[-84.09504,35.247642],[-84.018363,35.41195],[-83.7719,35.559827],[-83.498053,35.565304],[-83.251591,35.718659],[-82.994175,35.773428],[-82.775097,35.997983],[-82.638174,36.063706],[-82.610789,35.965121],[-82.216449,36.156814],[-82.03571,36.118475],[-81.909741,36.304691],[-81.723525,36.353984],[-81.679709,36.589492],[-80.978661,36.562108]]]}},</t>
  </si>
  <si>
    <t xml:space="preserve">    {"type":"Feature","id":"38","properties":{"name":"North Dakota","hv01":0,"hv02":0,"hv03":0,"hv04":0,"hv05":121200,"hv06":126700,"hv07":132900,"hv08":133400,"hv09":135200,"hv10":140800,"hv11":142900,"hv12":152900,"hv13":167500,"hv14":179800,"hv15":191200,"hv16":199900,"hv17":203300},"geometry":{"type":"Polygon","coordinates":[[[-97.228743,49.000239],[-97.097296,48.682577],[-97.16302,48.545653],[-97.130158,48.140359],[-97.053481,47.948667],[-96.856311,47.609096],[-96.823449,46.968294],[-96.785111,46.924479],[-96.801542,46.656109],[-96.719387,46.437031],[-96.598895,46.332969],[-96.560556,45.933153],[-104.047534,45.944106],[-104.042057,47.861036],[-104.047534,49.000239],[-97.228743,49.000239]]]}},</t>
  </si>
  <si>
    <t xml:space="preserve">    {"type":"Feature","id":"39","properties":{"name":"Ohio","hv01":108900,"hv02":113400,"hv03":118100,"hv04":121900,"hv05":124600,"hv06":124600,"hv07":120500,"hv08":113900,"hv09":110000,"hv10":107200,"hv11":102400,"hv12":102800,"hv13":105900,"hv14":110300,"hv15":114700,"hv16":120900,"hv17":129200},"geometry":{"type":"Polygon","coordinates":[[[-80.518598,41.978802],[-80.518598,40.636951],[-80.666475,40.582182],[-80.595275,40.472643],[-80.600752,40.319289],[-80.737675,40.078303],[-80.830783,39.711348],[-81.219646,39.388209],[-81.345616,39.344393],[-81.455155,39.410117],[-81.57017,39.267716],[-81.685186,39.273193],[-81.811156,39.0815],[-81.783771,38.966484],[-81.887833,38.873376],[-82.03571,39.026731],[-82.221926,38.785745],[-82.172634,38.632391],[-82.293127,38.577622],[-82.331465,38.446175],[-82.594358,38.424267],[-82.731282,38.561191],[-82.846298,38.588575],[-82.890113,38.758361],[-83.032514,38.725499],[-83.142052,38.626914],[-83.519961,38.703591],[-83.678792,38.632391],[-83.903347,38.769315],[-84.215533,38.807653],[-84.231963,38.895284],[-84.43461,39.103408],[-84.817996,39.103408],[-84.801565,40.500028],[-84.807042,41.694001],[-83.454238,41.732339],[-83.065375,41.595416],[-82.933929,41.513262],[-82.835344,41.589939],[-82.616266,41.431108],[-82.479343,41.381815],[-82.013803,41.513262],[-81.739956,41.485877],[-81.444201,41.672093],[-81.011523,41.852832],[-80.518598,41.978802],[-80.518598,41.978802]]]}},</t>
  </si>
  <si>
    <t xml:space="preserve">    {"type":"Feature","id":"40","properties":{"name":"Oklahoma","hv01":71500,"hv02":75700,"hv03":78800,"hv04":82600,"hv05":86000,"hv06":90200,"hv07":93300,"hv08":94500,"hv09":96400,"hv10":95400,"hv11":93100,"hv12":93200,"hv13":94300,"hv14":96000,"hv15":100300,"hv16":110000,"hv17":116400},"geometry":{"type":"Polygon","coordinates":[[[-100.087706,37.000263],[-94.616242,37.000263],[-94.616242,36.501861],[-94.430026,35.395519],[-94.484796,33.637421],[-94.868182,33.74696],[-94.966767,33.861976],[-95.224183,33.960561],[-95.289906,33.87293],[-95.547322,33.878407],[-95.602092,33.933176],[-95.8376,33.834591],[-95.936185,33.889361],[-96.149786,33.840068],[-96.346956,33.686714],[-96.423633,33.774345],[-96.631756,33.845545],[-96.850834,33.845545],[-96.922034,33.960561],[-97.173974,33.736006],[-97.256128,33.861976],[-97.371143,33.823637],[-97.458774,33.905791],[-97.694283,33.982469],[-97.869545,33.851022],[-97.946222,33.987946],[-98.088623,34.004376],[-98.170777,34.113915],[-98.36247,34.157731],[-98.488439,34.064623],[-98.570593,34.146777],[-98.767763,34.135823],[-98.986841,34.223454],[-99.189488,34.2125],[-99.260688,34.404193],[-99.57835,34.415147],[-99.698843,34.382285],[-99.923398,34.573978],[-100.000075,34.563024],[-100.000075,36.501861],[-101.812942,36.501861],[-103.001438,36.501861],[-103.001438,37.000263],[-102.042974,36.994786],[-100.087706,37.000263]]]}},</t>
  </si>
  <si>
    <t xml:space="preserve">    {"type":"Feature","id":"41","properties":{"name":"Oregon","hv01":153300,"hv02":161000,"hv03":171500,"hv04":193000,"hv05":240300,"hv06":264600,"hv07":260700,"hv08":239200,"hv09":222400,"hv10":204700,"hv11":191600,"hv12":199500,"hv13":221500,"hv14":238100,"hv15":265100,"hv16":299500,"hv17":323000},"geometry":{"type":"Polygon","coordinates":[[[-123.211348,46.174138],[-123.11824,46.185092],[-122.904639,46.08103],[-122.811531,45.960537],[-122.762239,45.659305],[-122.247407,45.549767],[-121.809251,45.708598],[-121.535404,45.725029],[-121.217742,45.670259],[-121.18488,45.604536],[-120.637186,45.746937],[-120.505739,45.697644],[-120.209985,45.725029],[-119.963522,45.823614],[-119.525367,45.911245],[-119.125551,45.933153],[-118.988627,45.998876],[-116.918344,45.993399],[-116.78142,45.823614],[-116.545912,45.752413],[-116.463758,45.61549],[-116.671881,45.319735],[-116.732128,45.144473],[-116.847143,45.02398],[-116.830713,44.930872],[-116.934774,44.782995],[-117.038836,44.750133],[-117.241483,44.394132],[-117.170283,44.257209],[-116.97859,44.240778],[-116.896436,44.158624],[-117.027882,43.830007],[-117.027882,42.000709],[-118.698349,41.989755],[-120.001861,41.995232],[-121.037003,41.995232],[-122.378853,42.011663],[-123.233256,42.006186],[-124.213628,42.000709],[-124.356029,42.115725],[-124.432706,42.438865],[-124.416275,42.663419],[-124.553198,42.838681],[-124.454613,43.002989],[-124.383413,43.271359],[-124.235536,43.55616],[-124.169813,43.8081],[-124.060274,44.657025],[-124.076705,44.772041],[-123.97812,45.144473],[-123.939781,45.659305],[-123.994551,45.944106],[-123.945258,46.113892],[-123.545441,46.261769],[-123.370179,46.146753],[-123.211348,46.174138]]]}},</t>
  </si>
  <si>
    <t xml:space="preserve">    {"type":"Feature","id":"42","properties":{"name":"Pennsylvania","hv01":101400,"hv02":109300,"hv03":121100,"hv04":134000,"hv05":146600,"hv06":155000,"hv07":156900,"hv08":152500,"hv09":149900,"hv10":146200,"hv11":140100,"hv12":139700,"hv13":141900,"hv14":144600,"hv15":148300,"hv16":154500,"hv17":163300},"geometry":{"type":"Polygon","coordinates":[[[-79.76278,42.252649],[-79.76278,42.000709],[-75.35932,42.000709],[-75.249781,41.863786],[-75.173104,41.869263],[-75.052611,41.754247],[-75.074519,41.60637],[-74.89378,41.436584],[-74.740426,41.431108],[-74.69661,41.359907],[-74.828057,41.288707],[-74.882826,41.179168],[-75.134765,40.971045],[-75.052611,40.866983],[-75.205966,40.691721],[-75.195012,40.576705],[-75.069042,40.543843],[-75.058088,40.417874],[-74.773287,40.215227],[-74.82258,40.127596],[-75.129289,39.963288],[-75.145719,39.88661],[-75.414089,39.804456],[-75.616736,39.831841],[-75.786521,39.722302],[-79.477979,39.722302],[-80.518598,39.722302],[-80.518598,40.636951],[-80.518598,41.978802],[-80.518598,41.978802],[-80.332382,42.033571],[-79.76278,42.269079],[-79.76278,42.252649]]]}},</t>
  </si>
  <si>
    <t xml:space="preserve">    {"type":"Feature","id":"44","properties":{"name":"Rhode Island","hv01":168800,"hv02":203700,"hv03":245600,"hv04":281900,"hv05":296500,"hv06":288400,"hv07":271300,"hv08":240300,"hv09":225200,"hv10":221500,"hv11":202900,"hv12":206700,"hv13":212300,"hv14":219900,"hv15":227500,"hv16":243500,"hv17":265500},"geometry":{"type":"MultiPolygon","coordinates":[[[[-71.196845,41.67757],[-71.120168,41.496831],[-71.317338,41.474923],[-71.196845,41.67757]]],[[[-71.530939,42.01714],[-71.383061,42.01714],[-71.328292,41.781632],[-71.22423,41.710431],[-71.344723,41.726862],[-71.448785,41.578985],[-71.481646,41.370861],[-71.859555,41.321569],[-71.799309,41.414677],[-71.799309,42.006186],[-71.530939,42.01714]]]]}},</t>
  </si>
  <si>
    <t xml:space="preserve">    {"type":"Feature","id":"45","properties":{"name":"South Carolina","hv01":105500,"hv02":109200,"hv03":114700,"hv04":123000,"hv05":133700,"hv06":143800,"hv07":143200,"hv08":137100,"hv09":131700,"hv10":126600,"hv11":121100,"hv12":121500,"hv13":125100,"hv14":126800,"hv15":132400,"hv16":144400,"hv17":153100},"geometry":{"type":"Polygon","coordinates":[[[-82.764143,35.066903],[-82.550543,35.160011],[-82.276696,35.198349],[-81.044384,35.149057],[-81.038907,35.044995],[-80.934845,35.105241],[-80.781491,34.935456],[-80.797922,34.820441],[-79.675149,34.80401],[-78.541422,33.851022],[-78.716684,33.80173],[-78.935762,33.637421],[-79.149363,33.380005],[-79.187701,33.171881],[-79.357487,33.007573],[-79.582041,33.007573],[-79.631334,32.887081],[-79.866842,32.755634],[-79.998289,32.613234],[-80.206412,32.552987],[-80.430967,32.399633],[-80.452875,32.328433],[-80.660998,32.246279],[-80.885553,32.032678],[-81.115584,32.120309],[-81.121061,32.290094],[-81.279893,32.558464],[-81.416816,32.629664],[-81.42777,32.843265],[-81.493493,33.007573],[-81.761863,33.160928],[-81.937125,33.347144],[-81.926172,33.462159],[-82.194542,33.631944],[-82.325988,33.81816],[-82.55602,33.94413],[-82.714851,34.152254],[-82.747713,34.26727],[-82.901067,34.486347],[-83.005129,34.469916],[-83.339222,34.683517],[-83.322791,34.787579],[-83.109191,35.00118],[-82.764143,35.066903]]]}},</t>
  </si>
  <si>
    <t xml:space="preserve">    {"type":"Feature","id":"46","properties":{"name":"South Dakota","hv01":96600,"hv02":102400,"hv03":103800,"hv04":120400,"hv05":130800,"hv06":138300,"hv07":138900,"hv08":140300,"hv09":139900,"hv10":140100,"hv11":137700,"hv12":141800,"hv13":146300,"hv14":151400,"hv15":160700,"hv16":168300,"hv17":176200},"geometry":{"type":"Polygon","coordinates":[[[-104.047534,45.944106],[-96.560556,45.933153],[-96.582464,45.818137],[-96.856311,45.604536],[-96.681049,45.412843],[-96.451017,45.297827],[-96.451017,43.501391],[-96.582464,43.479483],[-96.527695,43.397329],[-96.560556,43.222067],[-96.434587,43.123482],[-96.511264,43.052282],[-96.544125,42.855112],[-96.631756,42.707235],[-96.44554,42.488157],[-96.626279,42.515542],[-96.692003,42.657942],[-97.217789,42.844158],[-97.688806,42.844158],[-97.831206,42.866066],[-97.951699,42.767481],[-98.466531,42.94822],[-98.499393,42.997512],[-101.626726,42.997512],[-103.324578,43.002989],[-104.053011,43.002989],[-104.058488,44.996596],[-104.042057,44.996596],[-104.047534,45.944106]]]}},</t>
  </si>
  <si>
    <t xml:space="preserve">    {"type":"Feature","id":"47","properties":{"name":"Tennessee","hv01":90700,"hv02":93600,"hv03":97500,"hv04":104600,"hv05":115200,"hv06":122900,"hv07":125000,"hv08":121200,"hv09":118000,"hv10":115200,"hv11":111600,"hv12":112000,"hv13":116500,"hv14":121700,"hv15":129100,"hv16":139900,"hv17":151100},"geometry":{"type":"Polygon","coordinates":[[[-88.054868,36.496384],[-88.071299,36.677123],[-87.852221,36.633308],[-86.592525,36.655216],[-85.486183,36.616877],[-85.289013,36.627831],[-84.544149,36.594969],[-83.689746,36.584015],[-83.673316,36.600446],[-81.679709,36.589492],[-81.723525,36.353984],[-81.909741,36.304691],[-82.03571,36.118475],[-82.216449,36.156814],[-82.610789,35.965121],[-82.638174,36.063706],[-82.775097,35.997983],[-82.994175,35.773428],[-83.251591,35.718659],[-83.498053,35.565304],[-83.7719,35.559827],[-84.018363,35.41195],[-84.09504,35.247642],[-84.29221,35.225734],[-84.319594,34.990226],[-85.606675,34.984749],[-87.359296,35.00118],[-88.202745,34.995703],[-88.471115,34.995703],[-90.311367,34.995703],[-90.212782,35.023087],[-90.114197,35.198349],[-90.130628,35.439335],[-89.944412,35.603643],[-89.911551,35.756997],[-89.763673,35.811767],[-89.730812,35.997983],[-89.533642,36.249922],[-89.539119,36.496384],[-89.484349,36.496384],[-89.418626,36.496384],[-89.298133,36.507338],[-88.054868,36.496384]]]}},</t>
  </si>
  <si>
    <t xml:space="preserve">    {"type":"Feature","id":"48","properties":{"name":"Texas","hv01":110700,"hv02":115100,"hv03":117800,"hv04":126500,"hv05":129800,"hv06":134800,"hv07":138900,"hv08":132700,"hv09":130900,"hv10":128900,"hv11":125900,"hv12":127600,"hv13":133400,"hv14":141000,"hv15":151000,"hv16":167500,"hv17":179500},"geometry":{"type":"Polygon","coordinates":[[[-101.812942,36.501861],[-100.000075,36.501861],[-100.000075,34.563024],[-99.923398,34.573978],[-99.698843,34.382285],[-99.57835,34.415147],[-99.260688,34.404193],[-99.189488,34.2125],[-98.986841,34.223454],[-98.767763,34.135823],[-98.570593,34.146777],[-98.488439,34.064623],[-98.36247,34.157731],[-98.170777,34.113915],[-98.088623,34.004376],[-97.946222,33.987946],[-97.869545,33.851022],[-97.694283,33.982469],[-97.458774,33.905791],[-97.371143,33.823637],[-97.256128,33.861976],[-97.173974,33.736006],[-96.922034,33.960561],[-96.850834,33.845545],[-96.631756,33.845545],[-96.423633,33.774345],[-96.346956,33.686714],[-96.149786,33.840068],[-95.936185,33.889361],[-95.8376,33.834591],[-95.602092,33.933176],[-95.547322,33.878407],[-95.289906,33.87293],[-95.224183,33.960561],[-94.966767,33.861976],[-94.868182,33.74696],[-94.484796,33.637421],[-94.380734,33.544313],[-94.183564,33.593606],[-94.041164,33.54979],[-94.041164,33.018527],[-94.041164,31.994339],[-93.822086,31.775262],[-93.816609,31.556184],[-93.542762,31.15089],[-93.526331,30.93729],[-93.630393,30.679874],[-93.728978,30.575812],[-93.696116,30.438888],[-93.767317,30.334826],[-93.690639,30.143133],[-93.926148,29.787132],[-93.838517,29.688547],[-94.002825,29.68307],[-94.523134,29.546147],[-94.70935,29.622824],[-94.742212,29.787132],[-94.873659,29.672117],[-94.966767,29.699501],[-95.016059,29.557101],[-94.911997,29.496854],[-94.895566,29.310638],[-95.081782,29.113469],[-95.383014,28.867006],[-95.985477,28.604113],[-96.045724,28.647929],[-96.226463,28.582205],[-96.23194,28.642452],[-96.478402,28.598636],[-96.593418,28.724606],[-96.664618,28.697221],[-96.401725,28.439805],[-96.593418,28.357651],[-96.774157,28.406943],[-96.801542,28.226204],[-97.026096,28.039988],[-97.256128,27.694941],[-97.404005,27.333463],[-97.513544,27.360848],[-97.540929,27.229401],[-97.425913,27.262263],[-97.480682,26.99937],[-97.557359,26.988416],[-97.562836,26.840538],[-97.469728,26.758384],[-97.442344,26.457153],[-97.332805,26.353091],[-97.30542,26.161398],[-97.217789,25.991613],[-97.524498,25.887551],[-97.650467,26.018997],[-97.885976,26.06829],[-98.198161,26.057336],[-98.466531,26.221644],[-98.669178,26.238075],[-98.822533,26.369522],[-99.030656,26.413337],[-99.173057,26.539307],[-99.266165,26.840538],[-99.446904,27.021277],[-99.424996,27.174632],[-99.50715,27.33894],[-99.479765,27.48134],[-99.605735,27.640172],[-99.709797,27.656603],[-99.879582,27.799003],[-99.934351,27.979742],[-100.082229,28.14405],[-100.29583,28.280974],[-100.399891,28.582205],[-100.498476,28.66436],[-100.629923,28.905345],[-100.673738,29.102515],[-100.799708,29.244915],[-101.013309,29.370885],[-101.062601,29.458516],[-101.259771,29.535193],[-101.413125,29.754271],[-101.851281,29.803563],[-102.114174,29.792609],[-102.338728,29.869286],[-102.388021,29.765225],[-102.629006,29.732363],[-102.809745,29.524239],[-102.919284,29.190146],[-102.97953,29.184669],[-103.116454,28.987499],[-103.280762,28.982022],[-103.527224,29.135376],[-104.146119,29.381839],[-104.266611,29.513285],[-104.507597,29.639255],[-104.677382,29.924056],[-104.688336,30.181472],[-104.858121,30.389596],[-104.896459,30.570335],[-105.005998,30.685351],[-105.394861,30.855136],[-105.602985,31.085167],[-105.77277,31.167321],[-105.953509,31.364491],[-106.205448,31.468553],[-106.38071,31.731446],[-106.528588,31.786216],[-106.643603,31.901231],[-106.616219,31.999816],[-103.067161,31.999816],[-103.067161,33.002096],[-103.045254,34.01533],[-103.039777,36.501861],[-103.001438,36.501861],[-101.812942,36.501861]]]}},</t>
  </si>
  <si>
    <t xml:space="preserve">    {"type":"Feature","id":"49","properties":{"name":"Utah","hv01":165300,"hv02":165400,"hv03":169700,"hv04":169000,"hv05":181000,"hv06":212400,"hv07":243500,"hv08":238000,"hv09":218500,"hv10":203700,"hv11":193500,"hv12":198200,"hv13":217500,"hv14":229700,"hv15":244400,"hv16":265000,"hv17":291300},"geometry":{"type":"Polygon","coordinates":[[[-112.164359,41.995232],[-111.047063,42.000709],[-111.047063,40.998429],[-109.04798,40.998429],[-109.053457,39.125316],[-109.058934,38.27639],[-109.042503,38.166851],[-109.042503,37.000263],[-110.499369,37.00574],[-114.048427,37.000263],[-114.04295,41.995232],[-112.164359,41.995232]]]}},</t>
  </si>
  <si>
    <t xml:space="preserve">    {"type":"Feature","id":"50","properties":{"name":"Vermont","hv01":120600,"hv02":132200,"hv03":146100,"hv04":164500,"hv05":184100,"hv06":191700,"hv07":192100,"hv08":185200,"hv09":178400,"hv10":179400,"hv11":179200,"hv12":179100,"hv13":181100,"hv14":183300,"hv15":183300,"hv16":187300,"hv17":194100},"geometry":{"type":"Polygon","coordinates":[[[-71.503554,45.013027],[-71.4926,44.914442],[-71.629524,44.750133],[-71.536416,44.585825],[-71.700724,44.41604],[-72.034817,44.322932],[-72.02934,44.07647],[-72.116971,43.994316],[-72.204602,43.769761],[-72.379864,43.572591],[-72.456542,43.150867],[-72.445588,43.008466],[-72.533219,42.953697],[-72.544173,42.80582],[-72.456542,42.729142],[-73.267129,42.745573],[-73.278083,42.833204],[-73.245221,43.523299],[-73.404052,43.687607],[-73.349283,43.769761],[-73.436914,44.043608],[-73.321898,44.246255],[-73.294514,44.437948],[-73.387622,44.618687],[-73.332852,44.804903],[-73.343806,45.013027],[-72.308664,45.002073],[-71.503554,45.013027]]]}},</t>
  </si>
  <si>
    <t xml:space="preserve">    {"type":"Feature","id":"51","properties":{"name":"Virginia","hv01":145500,"hv02":160200,"hv03":180500,"hv04":223800,"hv05":260400,"hv06":264700,"hv07":257000,"hv08":233500,"hv09":219300,"hv10":212200,"hv11":204500,"hv12":210000,"hv13":217700,"hv14":223000,"hv15":227900,"hv16":236800,"hv17":246400},"geometry":{"type":"MultiPolygon","coordinates":[[[[-75.397659,38.013497],[-75.244304,38.029928],[-75.375751,37.860142],[-75.512674,37.799896],[-75.594828,37.569865],[-75.802952,37.197433],[-75.972737,37.120755],[-76.027507,37.257679],[-75.939876,37.564388],[-75.671506,37.95325],[-75.397659,38.013497]]],[[[-76.016553,37.95325],[-75.994645,37.95325],[-76.043938,37.95325],[-76.016553,37.95325]]],[[[-78.349729,39.464886],[-77.82942,39.130793],[-77.719881,39.322485],[-77.566527,39.306055],[-77.456988,39.223901],[-77.456988,39.076023],[-77.248864,39.026731],[-77.117418,38.933623],[-77.040741,38.791222],[-77.128372,38.632391],[-77.248864,38.588575],[-77.325542,38.446175],[-77.281726,38.342113],[-77.013356,38.374975],[-76.964064,38.216144],[-76.613539,38.15042],[-76.514954,38.024451],[-76.235631,37.887527],[-76.3616,37.608203],[-76.246584,37.389126],[-76.383508,37.285064],[-76.399939,37.159094],[-76.273969,37.082417],[-76.410893,36.961924],[-76.619016,37.120755],[-76.668309,37.065986],[-76.48757,36.95097],[-75.994645,36.923586],[-75.868676,36.551154],[-79.510841,36.5402],[-80.294043,36.545677],[-80.978661,36.562108],[-81.679709,36.589492],[-83.673316,36.600446],[-83.136575,36.742847],[-83.070852,36.852385],[-82.879159,36.890724],[-82.868205,36.978355],[-82.720328,37.044078],[-82.720328,37.120755],[-82.353373,37.268633],[-81.969987,37.537003],[-81.986418,37.454849],[-81.849494,37.285064],[-81.679709,37.20291],[-81.55374,37.208387],[-81.362047,37.339833],[-81.225123,37.235771],[-80.967707,37.290541],[-80.513121,37.482234],[-80.474782,37.421987],[-80.29952,37.509618],[-80.294043,37.690357],[-80.184505,37.849189],[-79.998289,37.997066],[-79.921611,38.177805],[-79.724442,38.364021],[-79.647764,38.594052],[-79.477979,38.457129],[-79.313671,38.413313],[-79.209609,38.495467],[-78.996008,38.851469],[-78.870039,38.763838],[-78.404499,39.169131],[-78.349729,39.464886]]]]}},</t>
  </si>
  <si>
    <t xml:space="preserve">    {"type":"Feature","id":"53","properties":{"name":"Washington","hv01":179300,"hv02":184900,"hv03":199900,"hv04":228500,"hv05":271600,"hv06":303300,"hv07":303200,"hv08":276900,"hv09":253200,"hv10":235900,"hv11":217100,"hv12":223500,"hv13":244000,"hv14":259900,"hv15":285200,"hv16":320500,"hv17":354700},"geometry":{"type":"MultiPolygon","coordinates":[[[[-117.033359,49.000239],[-117.044313,47.762451],[-117.038836,46.426077],[-117.055267,46.343923],[-116.92382,46.168661],[-116.918344,45.993399],[-118.988627,45.998876],[-119.125551,45.933153],[-119.525367,45.911245],[-119.963522,45.823614],[-120.209985,45.725029],[-120.505739,45.697644],[-120.637186,45.746937],[-121.18488,45.604536],[-121.217742,45.670259],[-121.535404,45.725029],[-121.809251,45.708598],[-122.247407,45.549767],[-122.762239,45.659305],[-122.811531,45.960537],[-122.904639,46.08103],[-123.11824,46.185092],[-123.211348,46.174138],[-123.370179,46.146753],[-123.545441,46.261769],[-123.72618,46.300108],[-123.874058,46.239861],[-124.065751,46.327492],[-124.027412,46.464416],[-123.895966,46.535616],[-124.098612,46.74374],[-124.235536,47.285957],[-124.31769,47.357157],[-124.427229,47.740543],[-124.624399,47.88842],[-124.706553,48.184175],[-124.597014,48.381345],[-124.394367,48.288237],[-123.983597,48.162267],[-123.704273,48.167744],[-123.424949,48.118452],[-123.162056,48.167744],[-123.036086,48.080113],[-122.800578,48.08559],[-122.636269,47.866512],[-122.515777,47.882943],[-122.493869,47.587189],[-122.422669,47.318818],[-122.324084,47.346203],[-122.422669,47.576235],[-122.395284,47.800789],[-122.230976,48.030821],[-122.362422,48.123929],[-122.373376,48.288237],[-122.471961,48.468976],[-122.422669,48.600422],[-122.488392,48.753777],[-122.647223,48.775685],[-122.795101,48.8907],[-122.756762,49.000239],[-117.033359,49.000239]]],[[[-122.718423,48.310145],[-122.586977,48.35396],[-122.608885,48.151313],[-122.767716,48.227991],[-122.718423,48.310145]]],[[[-123.025132,48.583992],[-122.915593,48.715438],[-122.767716,48.556607],[-122.811531,48.419683],[-123.041563,48.458022],[-123.025132,48.583992]]]]}},</t>
  </si>
  <si>
    <t xml:space="preserve">    {"type":"Feature","id":"54","properties":{"name":"West Virginia","hv01":61400,"hv02":65900,"hv03":68900,"hv04":77500,"hv05":81300,"hv06":84400,"hv07":83800,"hv08":81900,"hv09":80500,"hv10":80600,"hv11":79500,"hv12":80600,"hv13":83000,"hv14":84500,"hv15":89000,"hv16":90500,"hv17":92400},"geometry":{"type":"Polygon","coordinates":[[[-80.518598,40.636951],[-80.518598,39.722302],[-79.477979,39.722302],[-79.488933,39.20747],[-79.291763,39.300578],[-79.094593,39.470363],[-78.963147,39.437501],[-78.765977,39.585379],[-78.470222,39.514178],[-78.431884,39.623717],[-78.267575,39.61824],[-78.174467,39.694917],[-78.004682,39.601809],[-77.834897,39.601809],[-77.719881,39.322485],[-77.82942,39.130793],[-78.349729,39.464886],[-78.404499,39.169131],[-78.870039,38.763838],[-78.996008,38.851469],[-79.209609,38.495467],[-79.313671,38.413313],[-79.477979,38.457129],[-79.647764,38.594052],[-79.724442,38.364021],[-79.921611,38.177805],[-79.998289,37.997066],[-80.184505,37.849189],[-80.294043,37.690357],[-80.29952,37.509618],[-80.474782,37.421987],[-80.513121,37.482234],[-80.967707,37.290541],[-81.225123,37.235771],[-81.362047,37.339833],[-81.55374,37.208387],[-81.679709,37.20291],[-81.849494,37.285064],[-81.986418,37.454849],[-81.969987,37.537003],[-82.101434,37.553434],[-82.293127,37.668449],[-82.342419,37.783465],[-82.50125,37.931343],[-82.621743,38.123036],[-82.594358,38.424267],[-82.331465,38.446175],[-82.293127,38.577622],[-82.172634,38.632391],[-82.221926,38.785745],[-82.03571,39.026731],[-81.887833,38.873376],[-81.783771,38.966484],[-81.811156,39.0815],[-81.685186,39.273193],[-81.57017,39.267716],[-81.455155,39.410117],[-81.345616,39.344393],[-81.219646,39.388209],[-80.830783,39.711348],[-80.737675,40.078303],[-80.600752,40.319289],[-80.595275,40.472643],[-80.666475,40.582182],[-80.518598,40.636951]]]}},</t>
  </si>
  <si>
    <t xml:space="preserve">    {"type":"Feature","id":"55","properties":{"name":"Wisconsin","hv01":133500,"hv02":141500,"hv03":150400,"hv04":161000,"hv05":157900,"hv06":160900,"hv07":161000,"hv08":154800,"hv09":149700,"hv10":144100,"hv11":139100,"hv12":139400,"hv13":145300,"hv14":147300,"hv15":153500,"hv16":162900,"hv17":173600},"geometry":{"type":"Polygon","coordinates":[[[-90.415429,46.568478],[-90.229213,46.508231],[-90.119674,46.338446],[-89.09001,46.135799],[-88.662808,45.987922],[-88.531362,46.020784],[-88.10416,45.922199],[-87.989145,45.796229],[-87.781021,45.675736],[-87.791975,45.500474],[-87.885083,45.363551],[-87.649574,45.341643],[-87.742682,45.199243],[-87.589328,45.095181],[-87.627666,44.974688],[-87.819359,44.95278],[-87.983668,44.722749],[-88.043914,44.563917],[-87.928898,44.536533],[-87.775544,44.640595],[-87.611236,44.837764],[-87.403112,44.914442],[-87.238804,45.166381],[-87.03068,45.22115],[-87.047111,45.089704],[-87.189511,44.969211],[-87.468835,44.552964],[-87.545512,44.322932],[-87.540035,44.158624],[-87.644097,44.103854],[-87.737205,43.8793],[-87.704344,43.687607],[-87.791975,43.561637],[-87.912467,43.249452],[-87.885083,43.002989],[-87.76459,42.783912],[-87.802929,42.493634],[-88.788778,42.493634],[-90.639984,42.510065],[-90.711184,42.636034],[-91.067185,42.75105],[-91.143862,42.909881],[-91.176724,43.134436],[-91.056231,43.254929],[-91.204109,43.353514],[-91.215062,43.501391],[-91.269832,43.616407],[-91.242447,43.775238],[-91.43414,43.994316],[-91.592971,44.032654],[-91.877772,44.202439],[-91.927065,44.333886],[-92.233773,44.443425],[-92.337835,44.552964],[-92.545959,44.569394],[-92.808852,44.750133],[-92.737652,45.117088],[-92.75956,45.286874],[-92.644544,45.440228],[-92.770513,45.566198],[-92.885529,45.577151],[-92.869098,45.719552],[-92.639067,45.933153],[-92.354266,46.015307],[-92.29402,46.075553],[-92.29402,46.667063],[-92.091373,46.749217],[-92.014696,46.705401],[-91.790141,46.694447],[-91.09457,46.864232],[-90.837154,46.95734],[-90.749522,46.88614],[-90.886446,46.754694],[-90.55783,46.584908],[-90.415429,46.568478]]]}},</t>
  </si>
  <si>
    <t xml:space="preserve">    {"type":"Feature","id":"56","properties":{"name":"Wyoming","hv01":151300,"hv02":152300,"hv03":163600,"hv04":176600,"hv05":156200,"hv06":173100,"hv07":183300,"hv08":182900,"hv09":180900,"hv10":181700,"hv11":181900,"hv12":186400,"hv13":190100,"hv14":195100,"hv15":204400,"hv16":209400,"hv17":213000},"geometry":{"type":"Polygon","coordinates":[[[-109.080842,45.002073],[-105.91517,45.002073],[-104.058488,44.996596],[-104.053011,43.002989],[-104.053011,41.003906],[-105.728954,40.998429],[-107.919731,41.003906],[-109.04798,40.998429],[-111.047063,40.998429],[-111.047063,42.000709],[-111.047063,44.476286],[-111.05254,45.002073],[-109.080842,45.002073]]]}}</t>
  </si>
  <si>
    <t>USE THIS COL --&gt;</t>
  </si>
  <si>
    <t xml:space="preserve">    {"type":"Feature","id":"01","properties":{"name":"Alabama","hv01":0.042,"hv02":0.033,"hv03":0.042,"hv04":0.052,"hv05":-0.053,"hv06":0.137,"hv07":0.002,"hv08":-0.03,"hv09":-0.047,"hv10":-0.042,"hv11":-0.041,"hv12":0.063,"hv13":0.081,"hv14":0.03,"hv15":0.019,"hv16":0.031,"hv17":0.025},"geometry":{"type":"Polygon","coordinates":[[[-87.359296,35.00118],[-85.606675,34.984749],[-85.431413,34.124869],[-85.184951,32.859696],[-85.069935,32.580372],[-84.960397,32.421541],[-85.004212,32.322956],[-84.889196,32.262709],[-85.058981,32.13674],[-85.053504,32.01077],[-85.141136,31.840985],[-85.042551,31.539753],[-85.113751,31.27686],[-85.004212,31.003013],[-85.497137,30.997536],[-87.600282,30.997536],[-87.633143,30.86609],[-87.408589,30.674397],[-87.446927,30.510088],[-87.37025,30.427934],[-87.518128,30.280057],[-87.655051,30.247195],[-87.90699,30.411504],[-87.934375,30.657966],[-88.011052,30.685351],[-88.10416,30.499135],[-88.137022,30.318396],[-88.394438,30.367688],[-88.471115,31.895754],[-88.241084,33.796253],[-88.098683,34.891641],[-88.202745,34.995703],[-87.359296,35.00118]]]}},</t>
  </si>
  <si>
    <t xml:space="preserve">    {"type":"Feature","id":"02","properties":{"name":"Alaska","hv01":0.183,"hv02":0.041,"hv03":0.073,"hv04":0.079,"hv05":0.111,"hv06":0.078,"hv07":0.029,"hv08":0.003,"hv09":0.008,"hv10":0.009,"hv11":-0.004,"hv12":0.004,"hv13":0.022,"hv14":0.035,"hv15":0.018,"hv16":0.013,"hv17":0.015},"geometry":{"type":"MultiPolygon","coordinates":[[[[-131.602021,55.117982],[-131.569159,55.28229],[-131.355558,55.183705],[-131.38842,55.01392],[-131.645836,55.035827],[-131.602021,55.117982]]],[[[-131.832052,55.42469],[-131.645836,55.304197],[-131.749898,55.128935],[-131.832052,55.189182],[-131.832052,55.42469]]],[[[-132.976733,56.437924],[-132.735747,56.459832],[-132.631685,56.421493],[-132.664547,56.273616],[-132.878148,56.240754],[-133.069841,56.333862],[-132.976733,56.437924]]],[[[-133.595627,56.350293],[-133.162949,56.317431],[-133.05341,56.125739],[-132.620732,55.912138],[-132.472854,55.780691],[-132.4619,55.671152],[-132.357838,55.649245],[-132.341408,55.506844],[-132.166146,55.364444],[-132.144238,55.238474],[-132.029222,55.276813],[-131.97993,55.178228],[-131.958022,54.789365],[-132.029222,54.701734],[-132.308546,54.718165],[-132.385223,54.915335],[-132.483808,54.898904],[-132.686455,55.046781],[-132.746701,54.997489],[-132.916486,55.046781],[-132.889102,54.898904],[-132.73027,54.937242],[-132.626209,54.882473],[-132.675501,54.679826],[-132.867194,54.701734],[-133.157472,54.95915],[-133.239626,55.090597],[-133.223195,55.22752],[-133.453227,55.216566],[-133.453227,55.320628],[-133.277964,55.331582],[-133.102702,55.42469],[-133.17938,55.588998],[-133.387503,55.62186],[-133.420365,55.884753],[-133.497042,56.0162],[-133.639442,55.923092],[-133.694212,56.070969],[-133.546335,56.142169],[-133.666827,56.311955],[-133.595627,56.350293]]],[[[-133.738027,55.556137],[-133.546335,55.490413],[-133.414888,55.572568],[-133.283441,55.534229],[-133.420365,55.386352],[-133.633966,55.430167],[-133.738027,55.556137]]],[[[-133.907813,56.930849],[-134.050213,57.029434],[-133.885905,57.095157],[-133.343688,57.002049],[-133.102702,57.007526],[-132.932917,56.82131],[-132.620732,56.667956],[-132.653593,56.55294],[-132.817901,56.492694],[-133.042456,56.520078],[-133.201287,56.448878],[-133.420365,56.492694],[-133.66135,56.448878],[-133.710643,56.684386],[-133.688735,56.837741],[-133.869474,56.843218],[-133.907813,56.930849]]],[[[-134.115936,56.48174],[-134.25286,56.558417],[-134.400737,56.722725],[-134.417168,56.848695],[-134.296675,56.908941],[-134.170706,56.848695],[-134.143321,56.952757],[-133.748981,56.772017],[-133.710643,56.596755],[-133.847566,56.574848],[-133.935197,56.377678],[-133.836612,56.322908],[-133.957105,56.092877],[-134.110459,56.142169],[-134.132367,55.999769],[-134.230952,56.070969],[-134.291198,56.350293],[-134.115936,56.48174]]],[[[-134.636246,56.28457],[-134.669107,56.169554],[-134.806031,56.235277],[-135.178463,56.67891],[-135.413971,56.810356],[-135.331817,56.914418],[-135.424925,57.166357],[-135.687818,57.369004],[-135.419448,57.566174],[-135.298955,57.48402],[-135.063447,57.418296],[-134.849846,57.407343],[-134.844369,57.248511],[-134.636246,56.728202],[-134.636246,56.28457]]],[[[-134.712923,58.223407],[-134.373353,58.14673],[-134.176183,58.157683],[-134.187137,58.081006],[-133.902336,57.807159],[-134.099505,57.850975],[-134.148798,57.757867],[-133.935197,57.615466],[-133.869474,57.363527],[-134.083075,57.297804],[-134.154275,57.210173],[-134.499322,57.029434],[-134.603384,57.034911],[-134.6472,57.226604],[-134.575999,57.341619],[-134.608861,57.511404],[-134.729354,57.719528],[-134.707446,57.829067],[-134.784123,58.097437],[-134.91557,58.212453],[-134.953908,58.409623],[-134.712923,58.223407]]],[[[-135.857603,57.330665],[-135.715203,57.330665],[-135.567326,57.149926],[-135.633049,57.023957],[-135.857603,56.996572],[-135.824742,57.193742],[-135.857603,57.330665]]],[[[-136.279328,58.206976],[-135.978096,58.201499],[-135.780926,58.28913],[-135.496125,58.168637],[-135.64948,58.037191],[-135.59471,57.987898],[-135.45231,58.135776],[-135.107263,58.086483],[-134.91557,57.976944],[-135.025108,57.779775],[-134.937477,57.763344],[-134.822462,57.500451],[-135.085355,57.462112],[-135.572802,57.675713],[-135.556372,57.456635],[-135.709726,57.369004],[-135.890465,57.407343],[-136.000004,57.544266],[-136.208128,57.637374],[-136.366959,57.829067],[-136.569606,57.916698],[-136.558652,58.075529],[-136.421728,58.130299],[-136.377913,58.267222],[-136.279328,58.206976]]],[[[-147.079854,60.200582],[-147.501579,59.948643],[-147.53444,59.850058],[-147.874011,59.784335],[-147.80281,59.937689],[-147.435855,60.09652],[-147.205824,60.271782],[-147.079854,60.200582]]],[[[-147.561825,60.578491],[-147.616594,60.370367],[-147.758995,60.156767],[-147.956165,60.227967],[-147.791856,60.474429],[-147.561825,60.578491]]],[[[-147.786379,70.245291],[-147.682318,70.201475],[-147.162008,70.15766],[-146.888161,70.185044],[-146.510252,70.185044],[-146.099482,70.146706],[-145.858496,70.168614],[-145.622988,70.08646],[-145.195787,69.993352],[-144.620708,69.971444],[-144.461877,70.026213],[-144.078491,70.059075],[-143.914183,70.130275],[-143.497935,70.141229],[-143.503412,70.091936],[-143.25695,70.119321],[-142.747594,70.042644],[-142.402547,69.916674],[-142.079408,69.856428],[-142.008207,69.801659],[-141.712453,69.790705],[-141.433129,69.697597],[-141.378359,69.63735],[-141.208574,69.686643],[-141.00045,69.648304],[-141.00045,60.304644],[-140.53491,60.22249],[-140.474664,60.310121],[-139.987216,60.184151],[-139.696939,60.342983],[-139.088998,60.359413],[-139.198537,60.091043],[-139.045183,59.997935],[-138.700135,59.910304],[-138.623458,59.767904],[-137.604747,59.242118],[-137.445916,58.908024],[-137.265177,59.001132],[-136.827022,59.159963],[-136.580559,59.16544],[-136.465544,59.285933],[-136.476498,59.466672],[-136.301236,59.466672],[-136.25742,59.625503],[-135.945234,59.663842],[-135.479694,59.800766],[-135.025108,59.565257],[-135.068924,59.422857],[-134.959385,59.280456],[-134.701969,59.247595],[-134.378829,59.033994],[-134.400737,58.973748],[-134.25286,58.858732],[-133.842089,58.727285],[-133.173903,58.152206],[-133.075318,57.998852],[-132.867194,57.845498],[-132.560485,57.505928],[-132.253777,57.21565],[-132.368792,57.095157],[-132.05113,57.051341],[-132.127807,56.876079],[-131.870391,56.804879],[-131.837529,56.602232],[-131.580113,56.613186],[-131.087188,56.405062],[-130.78048,56.366724],[-130.621648,56.268139],[-130.468294,56.240754],[-130.424478,56.142169],[-130.101339,56.114785],[-130.002754,55.994292],[-130.150631,55.769737],[-130.128724,55.583521],[-129.986323,55.276813],[-130.095862,55.200136],[-130.336847,54.920812],[-130.687372,54.718165],[-130.785957,54.822227],[-130.917403,54.789365],[-131.010511,54.997489],[-130.983126,55.08512],[-131.092665,55.189182],[-130.862634,55.298721],[-130.928357,55.337059],[-131.158389,55.200136],[-131.284358,55.287767],[-131.426759,55.238474],[-131.843006,55.457552],[-131.700606,55.698537],[-131.963499,55.616383],[-131.974453,55.49589],[-132.182576,55.588998],[-132.226392,55.704014],[-132.083991,55.829984],[-132.127807,55.955953],[-132.324977,55.851892],[-132.522147,56.076446],[-132.642639,56.032631],[-132.719317,56.218847],[-132.527624,56.339339],[-132.341408,56.339339],[-132.396177,56.487217],[-132.297592,56.67891],[-132.450946,56.673433],[-132.768609,56.837741],[-132.993164,57.034911],[-133.51895,57.177311],[-133.507996,57.577128],[-133.677781,57.62642],[-133.639442,57.790728],[-133.814705,57.834544],[-134.072121,58.053622],[-134.143321,58.168637],[-134.586953,58.206976],[-135.074401,58.502731],[-135.282525,59.192825],[-135.38111,59.033994],[-135.337294,58.891593],[-135.140124,58.617746],[-135.189417,58.573931],[-135.05797,58.349376],[-135.085355,58.201499],[-135.277048,58.234361],[-135.430402,58.398669],[-135.633049,58.426053],[-135.91785,58.382238],[-135.912373,58.617746],[-136.087635,58.814916],[-136.246466,58.75467],[-136.876314,58.962794],[-136.931084,58.902547],[-136.586036,58.836824],[-136.317666,58.672516],[-136.213604,58.667039],[-136.180743,58.535592],[-136.043819,58.382238],[-136.388867,58.294607],[-136.591513,58.349376],[-136.59699,58.212453],[-136.859883,58.316515],[-136.947514,58.393192],[-137.111823,58.393192],[-137.566409,58.590362],[-137.900502,58.765624],[-137.933364,58.869686],[-138.11958,59.02304],[-138.634412,59.132579],[-138.919213,59.247595],[-139.417615,59.379041],[-139.746231,59.505011],[-139.718846,59.641934],[-139.625738,59.598119],[-139.5162,59.68575],[-139.625738,59.88292],[-139.488815,59.992458],[-139.554538,60.041751],[-139.801,59.833627],[-140.315833,59.696704],[-140.92925,59.745996],[-141.444083,59.871966],[-141.46599,59.970551],[-141.706976,59.948643],[-141.964392,60.019843],[-142.539471,60.085566],[-142.873564,60.091043],[-143.623905,60.036274],[-143.892275,59.997935],[-144.231845,60.140336],[-144.65357,60.206059],[-144.785016,60.29369],[-144.834309,60.441568],[-145.124586,60.430614],[-145.223171,60.299167],[-145.738004,60.474429],[-145.820158,60.551106],[-146.351421,60.408706],[-146.608837,60.238921],[-146.718376,60.397752],[-146.608837,60.485383],[-146.455483,60.463475],[-145.951604,60.578491],[-146.017328,60.666122],[-146.252836,60.622307],[-146.345944,60.737322],[-146.565022,60.753753],[-146.784099,61.044031],[-146.866253,60.972831],[-147.172962,60.934492],[-147.271547,60.972831],[-147.375609,60.879723],[-147.758995,60.912584],[-147.775426,60.808523],[-148.032842,60.781138],[-148.153334,60.819476],[-148.065703,61.005692],[-148.175242,61.000215],[-148.350504,60.803046],[-148.109519,60.737322],[-148.087611,60.594922],[-147.939734,60.441568],[-148.027365,60.277259],[-148.219058,60.332029],[-148.273827,60.249875],[-148.087611,60.217013],[-147.983549,59.997935],[-148.251919,59.95412],[-148.399797,59.997935],[-148.635305,59.937689],[-148.755798,59.986981],[-149.067984,59.981505],[-149.05703,60.063659],[-149.204907,60.008889],[-149.287061,59.904827],[-149.418508,59.997935],[-149.582816,59.866489],[-149.511616,59.806242],[-149.741647,59.729565],[-149.949771,59.718611],[-150.031925,59.61455],[-150.25648,59.521442],[-150.409834,59.554303],[-150.579619,59.444764],[-150.716543,59.450241],[-151.001343,59.225687],[-151.308052,59.209256],[-151.406637,59.280456],[-151.592853,59.159963],[-151.976239,59.253071],[-151.888608,59.422857],[-151.636669,59.483103],[-151.47236,59.472149],[-151.423068,59.537872],[-151.127313,59.669319],[-151.116359,59.778858],[-151.505222,59.63098],[-151.828361,59.718611],[-151.8667,59.778858],[-151.702392,60.030797],[-151.423068,60.211536],[-151.379252,60.359413],[-151.297098,60.386798],[-151.264237,60.545629],[-151.406637,60.720892],[-151.06159,60.786615],[-150.404357,61.038554],[-150.245526,60.939969],[-150.042879,60.912584],[-149.741647,61.016646],[-150.075741,61.15357],[-150.207187,61.257632],[-150.47008,61.246678],[-150.656296,61.29597],[-150.711066,61.252155],[-151.023251,61.180954],[-151.165652,61.044031],[-151.477837,61.011169],[-151.800977,60.852338],[-151.833838,60.748276],[-152.080301,60.693507],[-152.13507,60.578491],[-152.310332,60.507291],[-152.392486,60.304644],[-152.732057,60.173197],[-152.567748,60.069136],[-152.704672,59.915781],[-153.022334,59.888397],[-153.049719,59.691227],[-153.345474,59.620026],[-153.438582,59.702181],[-153.586459,59.548826],[-153.761721,59.543349],[-153.72886,59.433811],[-154.117723,59.368087],[-154.1944,59.066856],[-153.750768,59.050425],[-153.400243,58.968271],[-153.301658,58.869686],[-153.444059,58.710854],[-153.679567,58.612269],[-153.898645,58.606793],[-153.920553,58.519161],[-154.062953,58.4863],[-153.99723,58.376761],[-154.145107,58.212453],[-154.46277,58.059098],[-154.643509,58.059098],[-154.818771,58.004329],[-154.988556,58.015283],[-155.120003,57.955037],[-155.081664,57.872883],[-155.328126,57.829067],[-155.377419,57.708574],[-155.547204,57.785251],[-155.73342,57.549743],[-156.045606,57.566174],[-156.023698,57.440204],[-156.209914,57.473066],[-156.34136,57.418296],[-156.34136,57.248511],[-156.549484,56.985618],[-156.883577,56.952757],[-157.157424,56.832264],[-157.20124,56.766541],[-157.376502,56.859649],[-157.672257,56.607709],[-157.754411,56.67891],[-157.918719,56.657002],[-157.957058,56.514601],[-158.126843,56.459832],[-158.32949,56.48174],[-158.488321,56.339339],[-158.208997,56.295524],[-158.510229,55.977861],[-159.375585,55.873799],[-159.616571,55.594475],[-159.676817,55.654722],[-159.643955,55.829984],[-159.813741,55.857368],[-160.027341,55.791645],[-160.060203,55.720445],[-160.394296,55.605429],[-160.536697,55.473983],[-160.580512,55.567091],[-160.668143,55.457552],[-160.865313,55.528752],[-161.232268,55.358967],[-161.506115,55.364444],[-161.467776,55.49589],[-161.588269,55.62186],[-161.697808,55.517798],[-161.686854,55.408259],[-162.053809,55.074166],[-162.179779,55.15632],[-162.218117,55.03035],[-162.470057,55.052258],[-162.508395,55.249428],[-162.661749,55.293244],[-162.716519,55.222043],[-162.579595,55.134412],[-162.645319,54.997489],[-162.847965,54.926289],[-163.00132,55.079643],[-163.187536,55.090597],[-163.220397,55.03035],[-163.034181,54.942719],[-163.373752,54.800319],[-163.14372,54.76198],[-163.138243,54.696257],[-163.329936,54.74555],[-163.587352,54.614103],[-164.085754,54.61958],[-164.332216,54.531949],[-164.354124,54.466226],[-164.638925,54.389548],[-164.847049,54.416933],[-164.918249,54.603149],[-164.710125,54.663395],[-164.551294,54.88795],[-164.34317,54.893427],[-163.894061,55.041304],[-163.532583,55.046781],[-163.39566,54.904381],[-163.291598,55.008443],[-163.313505,55.128935],[-163.105382,55.183705],[-162.880827,55.183705],[-162.579595,55.446598],[-162.245502,55.682106],[-161.807347,55.89023],[-161.292514,55.983338],[-161.078914,55.939523],[-160.87079,55.999769],[-160.816021,55.912138],[-160.931036,55.813553],[-160.805067,55.736876],[-160.766728,55.857368],[-160.509312,55.868322],[-160.438112,55.791645],[-160.27928,55.76426],[-160.273803,55.857368],[-160.536697,55.939523],[-160.558604,55.994292],[-160.383342,56.251708],[-160.147834,56.399586],[-159.830171,56.541986],[-159.326293,56.667956],[-158.959338,56.848695],[-158.784076,56.782971],[-158.641675,56.810356],[-158.701922,56.925372],[-158.658106,57.034911],[-158.378782,57.264942],[-157.995396,57.41282],[-157.688688,57.609989],[-157.705118,57.719528],[-157.458656,58.497254],[-157.07527,58.705377],[-157.119086,58.869686],[-158.039212,58.634177],[-158.32949,58.661562],[-158.40069,58.760147],[-158.564998,58.803962],[-158.619768,58.913501],[-158.767645,58.864209],[-158.860753,58.694424],[-158.701922,58.480823],[-158.893615,58.387715],[-159.0634,58.420577],[-159.392016,58.760147],[-159.616571,58.929932],[-159.731586,58.929932],[-159.808264,58.803962],[-159.906848,58.782055],[-160.054726,58.886116],[-160.235465,58.902547],[-160.317619,59.072332],[-160.854359,58.88064],[-161.33633,58.743716],[-161.374669,58.667039],[-161.752577,58.552023],[-161.938793,58.656085],[-161.769008,58.776578],[-161.829255,59.061379],[-161.955224,59.36261],[-161.703285,59.48858],[-161.911409,59.740519],[-162.092148,59.88292],[-162.234548,60.091043],[-162.448149,60.178674],[-162.502918,59.997935],[-162.760334,59.959597],[-163.171105,59.844581],[-163.66403,59.795289],[-163.9324,59.806242],[-164.162431,59.866489],[-164.189816,60.02532],[-164.386986,60.074613],[-164.699171,60.29369],[-164.962064,60.337506],[-165.268773,60.578491],[-165.060649,60.68803],[-165.016834,60.890677],[-165.175665,60.846861],[-165.197573,60.972831],[-165.120896,61.076893],[-165.323543,61.170001],[-165.34545,61.071416],[-165.591913,61.109754],[-165.624774,61.279539],[-165.816467,61.301447],[-165.920529,61.416463],[-165.915052,61.558863],[-166.106745,61.49314],[-166.139607,61.630064],[-165.904098,61.662925],[-166.095791,61.81628],[-165.756221,61.827233],[-165.756221,62.013449],[-165.674067,62.139419],[-165.044219,62.539236],[-164.912772,62.659728],[-164.819664,62.637821],[-164.874433,62.807606],[-164.633448,63.097884],[-164.425324,63.212899],[-164.036462,63.262192],[-163.73523,63.212899],[-163.313505,63.037637],[-163.039658,63.059545],[-162.661749,63.22933],[-162.272887,63.486746],[-162.075717,63.514131],[-162.026424,63.448408],[-161.555408,63.448408],[-161.13916,63.503177],[-160.766728,63.771547],[-160.766728,63.837271],[-160.952944,64.08921],[-160.974852,64.237087],[-161.26513,64.395918],[-161.374669,64.532842],[-161.078914,64.494503],[-160.79959,64.609519],[-160.783159,64.719058],[-161.144637,64.921705],[-161.413007,64.762873],[-161.664946,64.790258],[-161.900455,64.702627],[-162.168825,64.680719],[-162.234548,64.620473],[-162.541257,64.532842],[-162.634365,64.384965],[-162.787719,64.324718],[-162.858919,64.49998],[-163.045135,64.538319],[-163.176582,64.401395],[-163.253259,64.467119],[-163.598306,64.565704],[-164.304832,64.560227],[-164.80871,64.450688],[-165.000403,64.434257],[-165.411174,64.49998],[-166.188899,64.576658],[-166.391546,64.636904],[-166.484654,64.735489],[-166.413454,64.872412],[-166.692778,64.987428],[-166.638008,65.113398],[-166.462746,65.179121],[-166.517516,65.337952],[-166.796839,65.337952],[-167.026871,65.381768],[-167.47598,65.414629],[-167.711489,65.496784],[-168.072967,65.578938],[-168.105828,65.682999],[-167.541703,65.819923],[-166.829701,66.049954],[-166.3313,66.186878],[-166.046499,66.110201],[-165.756221,66.09377],[-165.690498,66.203309],[-165.86576,66.21974],[-165.88219,66.312848],[-165.186619,66.466202],[-164.403417,66.581218],[-163.981692,66.592172],[-163.751661,66.553833],[-163.872153,66.389525],[-163.828338,66.274509],[-163.915969,66.192355],[-163.768091,66.060908],[-163.494244,66.082816],[-163.149197,66.060908],[-162.749381,66.088293],[-162.634365,66.039001],[-162.371472,66.028047],[-162.14144,66.077339],[-161.840208,66.02257],[-161.549931,66.241647],[-161.341807,66.252601],[-161.199406,66.208786],[-161.128206,66.334755],[-161.528023,66.395002],[-161.911409,66.345709],[-161.87307,66.510017],[-162.174302,66.68528],[-162.502918,66.740049],[-162.601503,66.89888],[-162.344087,66.937219],[-162.015471,66.778388],[-162.075717,66.652418],[-161.916886,66.553833],[-161.571838,66.438817],[-161.489684,66.55931],[-161.884024,66.718141],[-161.714239,67.002942],[-161.851162,67.052235],[-162.240025,66.991988],[-162.639842,67.008419],[-162.700088,67.057712],[-162.902735,67.008419],[-163.740707,67.128912],[-163.757138,67.254881],[-164.009077,67.534205],[-164.211724,67.638267],[-164.534863,67.725898],[-165.192096,67.966884],[-165.493328,68.059992],[-165.794559,68.081899],[-166.243668,68.246208],[-166.681824,68.339316],[-166.703731,68.372177],[-166.375115,68.42147],[-166.227238,68.574824],[-166.216284,68.881533],[-165.329019,68.859625],[-164.255539,68.930825],[-163.976215,68.985595],[-163.532583,69.138949],[-163.110859,69.374457],[-163.023228,69.609966],[-162.842489,69.812613],[-162.470057,69.982398],[-162.311225,70.108367],[-161.851162,70.311014],[-161.779962,70.256245],[-161.396576,70.239814],[-160.837928,70.343876],[-160.487404,70.453415],[-159.649432,70.792985],[-159.33177,70.809416],[-159.298908,70.760123],[-158.975769,70.798462],[-158.658106,70.787508],[-158.033735,70.831323],[-157.420318,70.979201],[-156.812377,71.285909],[-156.565915,71.351633],[-156.522099,71.296863],[-155.585543,71.170894],[-155.508865,71.083263],[-155.832005,70.968247],[-155.979882,70.96277],[-155.974405,70.809416],[-155.503388,70.858708],[-155.476004,70.940862],[-155.262403,71.017539],[-155.191203,70.973724],[-155.032372,71.148986],[-154.566832,70.990155],[-154.643509,70.869662],[-154.353231,70.8368],[-154.183446,70.7656],[-153.931507,70.880616],[-153.487874,70.886093],[-153.235935,70.924431],[-152.589656,70.886093],[-152.26104,70.842277],[-152.419871,70.606769],[-151.817408,70.546523],[-151.773592,70.486276],[-151.187559,70.382214],[-151.182082,70.431507],[-150.760358,70.49723],[-150.355064,70.491753],[-150.349588,70.436984],[-150.114079,70.431507],[-149.867617,70.508184],[-149.462323,70.519138],[-149.177522,70.486276],[-148.78866,70.404122],[-148.607921,70.420553],[-148.350504,70.305537],[-148.202627,70.349353],[-147.961642,70.316491],[-147.786379,70.245291]]],[[[-152.94018,58.026237],[-152.945657,57.982421],[-153.290705,58.048145],[-153.044242,58.305561],[-152.819688,58.327469],[-152.666333,58.562977],[-152.496548,58.354853],[-152.354148,58.426053],[-152.080301,58.311038],[-152.080301,58.152206],[-152.480117,58.130299],[-152.655379,58.059098],[-152.94018,58.026237]]],[[[-153.958891,57.538789],[-153.67409,57.670236],[-153.931507,57.69762],[-153.936983,57.812636],[-153.723383,57.889313],[-153.570028,57.834544],[-153.548121,57.719528],[-153.46049,57.796205],[-153.455013,57.96599],[-153.268797,57.889313],[-153.235935,57.998852],[-153.071627,57.933129],[-152.874457,57.933129],[-152.721103,57.993375],[-152.469163,57.889313],[-152.469163,57.599035],[-152.151501,57.620943],[-152.359625,57.42925],[-152.74301,57.505928],[-152.60061,57.379958],[-152.710149,57.275896],[-152.907319,57.325188],[-152.912796,57.128019],[-153.214027,57.073249],[-153.312612,56.991095],[-153.498828,57.067772],[-153.695998,56.859649],[-153.849352,56.837741],[-154.013661,56.744633],[-154.073907,56.969187],[-154.303938,56.848695],[-154.314892,56.919895],[-154.523016,56.991095],[-154.539447,57.193742],[-154.742094,57.275896],[-154.627078,57.511404],[-154.227261,57.659282],[-153.980799,57.648328],[-153.958891,57.538789]]],[[[-154.53397,56.602232],[-154.742094,56.399586],[-154.807817,56.432447],[-154.53397,56.602232]]],[[[-155.634835,55.923092],[-155.476004,55.912138],[-155.530773,55.704014],[-155.793666,55.731399],[-155.837482,55.802599],[-155.634835,55.923092]]],[[[-159.890418,55.28229],[-159.950664,55.068689],[-160.257373,54.893427],[-160.109495,55.161797],[-160.005433,55.134412],[-159.890418,55.28229]]],[[[-160.520266,55.358967],[-160.33405,55.358967],[-160.339527,55.249428],[-160.525743,55.128935],[-160.690051,55.211089],[-160.794113,55.134412],[-160.854359,55.320628],[-160.79959,55.380875],[-160.520266,55.358967]]],[[[-162.256456,54.981058],[-162.234548,54.893427],[-162.349564,54.838658],[-162.437195,54.931766],[-162.256456,54.981058]]],[[[-162.415287,63.634624],[-162.563165,63.536039],[-162.612457,63.62367],[-162.415287,63.634624]]],[[[-162.80415,54.488133],[-162.590549,54.449795],[-162.612457,54.367641],[-162.782242,54.373118],[-162.80415,54.488133]]],[[[-165.548097,54.29644],[-165.476897,54.181425],[-165.630251,54.132132],[-165.685021,54.252625],[-165.548097,54.29644]]],[[[-165.73979,54.15404],[-166.046499,54.044501],[-166.112222,54.121178],[-165.980775,54.219763],[-165.73979,54.15404]]],[[[-166.364161,60.359413],[-166.13413,60.397752],[-166.084837,60.326552],[-165.88219,60.342983],[-165.685021,60.277259],[-165.646682,59.992458],[-165.750744,59.89935],[-166.00816,59.844581],[-166.062929,59.745996],[-166.440838,59.855535],[-166.6161,59.850058],[-166.994009,59.992458],[-167.125456,59.992458],[-167.344534,60.074613],[-167.421211,60.206059],[-167.311672,60.238921],[-166.93924,60.206059],[-166.763978,60.310121],[-166.577762,60.321075],[-166.495608,60.392275],[-166.364161,60.359413]]],[[[-166.375115,54.01164],[-166.210807,53.934962],[-166.5449,53.748746],[-166.539423,53.715885],[-166.117699,53.852808],[-166.112222,53.776131],[-166.282007,53.683023],[-166.555854,53.622777],[-166.583239,53.529669],[-166.878994,53.431084],[-167.13641,53.425607],[-167.306195,53.332499],[-167.623857,53.250345],[-167.793643,53.337976],[-167.459549,53.442038],[-167.355487,53.425607],[-167.103548,53.513238],[-167.163794,53.611823],[-167.021394,53.715885],[-166.807793,53.666592],[-166.785886,53.732316],[-167.015917,53.754223],[-167.141887,53.825424],[-167.032348,53.945916],[-166.643485,54.017116],[-166.561331,53.880193],[-166.375115,54.01164]]],[[[-168.790446,53.157237],[-168.40706,53.34893],[-168.385152,53.431084],[-168.237275,53.524192],[-168.007243,53.568007],[-167.886751,53.518715],[-167.842935,53.387268],[-168.270136,53.244868],[-168.500168,53.036744],[-168.686384,52.965544],[-168.790446,53.157237]]],[[[-169.74891,52.894344],[-169.705095,52.795759],[-169.962511,52.790282],[-169.989896,52.856005],[-169.74891,52.894344]]],[[[-170.148727,57.221127],[-170.28565,57.128019],[-170.313035,57.221127],[-170.148727,57.221127]]],[[[-170.669036,52.697174],[-170.603313,52.604066],[-170.789529,52.538343],[-170.816914,52.636928],[-170.669036,52.697174]]],[[[-171.742517,63.716778],[-170.94836,63.5689],[-170.488297,63.69487],[-170.280174,63.683916],[-170.093958,63.612716],[-170.044665,63.492223],[-169.644848,63.4265],[-169.518879,63.366254],[-168.99857,63.338869],[-168.686384,63.295053],[-168.856169,63.147176],[-169.108108,63.180038],[-169.376478,63.152653],[-169.513402,63.08693],[-169.639372,62.939052],[-169.831064,63.075976],[-170.055619,63.169084],[-170.263743,63.180038],[-170.362328,63.2841],[-170.866206,63.415546],[-171.101715,63.421023],[-171.463193,63.306007],[-171.73704,63.366254],[-171.852055,63.486746],[-171.742517,63.716778]]],[[[-172.432611,52.390465],[-172.41618,52.275449],[-172.607873,52.253542],[-172.569535,52.352127],[-172.432611,52.390465]]],[[[-173.626584,52.14948],[-173.495138,52.105664],[-173.122706,52.111141],[-173.106275,52.07828],[-173.549907,52.028987],[-173.626584,52.14948]]],[[[-174.322156,52.280926],[-174.327632,52.379511],[-174.185232,52.41785],[-173.982585,52.319265],[-174.059262,52.226157],[-174.179755,52.231634],[-174.141417,52.127572],[-174.333109,52.116618],[-174.738403,52.007079],[-174.968435,52.039941],[-174.902711,52.116618],[-174.656249,52.105664],[-174.322156,52.280926]]],[[[-176.469116,51.853725],[-176.288377,51.870156],[-176.288377,51.744186],[-176.518409,51.760617],[-176.80321,51.61274],[-176.912748,51.80991],[-176.792256,51.815386],[-176.775825,51.963264],[-176.627947,51.968741],[-176.627947,51.859202],[-176.469116,51.853725]]],[[[-177.153734,51.946833],[-177.044195,51.897541],[-177.120872,51.727755],[-177.274226,51.678463],[-177.279703,51.782525],[-177.153734,51.946833]]],[[[-178.123152,51.919448],[-177.953367,51.913971],[-177.800013,51.793479],[-177.964321,51.651078],[-178.123152,51.919448]]],[[[-187.107557,52.992929],[-187.293773,52.927205],[-187.304726,52.823143],[-188.90491,52.762897],[-188.642017,52.927205],[-188.642017,53.003883],[-187.107557,52.992929]]]]}},</t>
  </si>
  <si>
    <t xml:space="preserve">    {"type":"Feature","id":"04","properties":{"name":"Arizona","hv01":0.06,"hv02":0.061,"hv03":0.064,"hv04":0.196,"hv05":0.401,"hv06":0.004,"hv07":-0.107,"hv08":-0.19,"hv09":-0.16,"hv10":-0.102,"hv11":-0.059,"hv12":0.165,"hv13":0.135,"hv14":0.044,"hv15":0.078,"hv16":0.087,"hv17":0.072},"geometry":{"type":"Polygon","coordinates":[[[-109.042503,37.000263],[-109.04798,31.331629],[-111.074448,31.331629],[-112.246513,31.704061],[-114.815198,32.492741],[-114.72209,32.717295],[-114.524921,32.755634],[-114.470151,32.843265],[-114.524921,33.029481],[-114.661844,33.034958],[-114.727567,33.40739],[-114.524921,33.54979],[-114.497536,33.697668],[-114.535874,33.933176],[-114.415382,34.108438],[-114.256551,34.174162],[-114.136058,34.305608],[-114.333228,34.448009],[-114.470151,34.710902],[-114.634459,34.87521],[-114.634459,35.00118],[-114.574213,35.138103],[-114.596121,35.324319],[-114.678275,35.516012],[-114.738521,36.102045],[-114.371566,36.140383],[-114.251074,36.01989],[-114.152489,36.025367],[-114.048427,36.195153],[-114.048427,37.000263],[-110.499369,37.00574],[-109.042503,37.000263]]]}},</t>
  </si>
  <si>
    <t xml:space="preserve">    {"type":"Feature","id":"05","properties":{"name":"Arkansas","hv01":0.033,"hv02":0.057,"hv03":0.034,"hv04":0.075,"hv05":0.097,"hv06":0.062,"hv07":0.004,"hv08":-0.027,"hv09":-0.019,"hv10":-0.021,"hv11":-0.021,"hv12":0.01,"hv13":0.04,"hv14":0.028,"hv15":0.044,"hv16":0.065,"hv17":0.035},"geometry":{"type":"Polygon","coordinates":[[[-94.473842,36.501861],[-90.152536,36.496384],[-90.064905,36.304691],[-90.218259,36.184199],[-90.377091,35.997983],[-89.730812,35.997983],[-89.763673,35.811767],[-89.911551,35.756997],[-89.944412,35.603643],[-90.130628,35.439335],[-90.114197,35.198349],[-90.212782,35.023087],[-90.311367,34.995703],[-90.251121,34.908072],[-90.409952,34.831394],[-90.481152,34.661609],[-90.585214,34.617794],[-90.568783,34.420624],[-90.749522,34.365854],[-90.744046,34.300131],[-90.952169,34.135823],[-90.891923,34.026284],[-91.072662,33.867453],[-91.231493,33.560744],[-91.056231,33.429298],[-91.143862,33.347144],[-91.089093,33.13902],[-91.16577,33.002096],[-93.608485,33.018527],[-94.041164,33.018527],[-94.041164,33.54979],[-94.183564,33.593606],[-94.380734,33.544313],[-94.484796,33.637421],[-94.430026,35.395519],[-94.616242,36.501861],[-94.473842,36.501861]]]}},</t>
  </si>
  <si>
    <t xml:space="preserve">    {"type":"Feature","id":"06","properties":{"name":"California","hv01":0.122,"hv02":0.163,"hv03":0.202,"hv04":0.267,"hv05":0.138,"hv06":-0.004,"hv07":-0.114,"hv08":-0.208,"hv09":-0.096,"hv10":-0.031,"hv11":-0.069,"hv12":0.084,"hv13":0.195,"hv14":0.072,"hv15":0.074,"hv16":0.076,"hv17":0.079},"geometry":{"type":"Polygon","coordinates":[[[-123.233256,42.006186],[-122.378853,42.011663],[-121.037003,41.995232],[-120.001861,41.995232],[-119.996384,40.264519],[-120.001861,38.999346],[-118.71478,38.101128],[-117.498899,37.21934],[-116.540435,36.501861],[-115.85034,35.970598],[-114.634459,35.00118],[-114.634459,34.87521],[-114.470151,34.710902],[-114.333228,34.448009],[-114.136058,34.305608],[-114.256551,34.174162],[-114.415382,34.108438],[-114.535874,33.933176],[-114.497536,33.697668],[-114.524921,33.54979],[-114.727567,33.40739],[-114.661844,33.034958],[-114.524921,33.029481],[-114.470151,32.843265],[-114.524921,32.755634],[-114.72209,32.717295],[-116.04751,32.624187],[-117.126467,32.536556],[-117.24696,32.668003],[-117.252437,32.876127],[-117.329114,33.122589],[-117.471515,33.297851],[-117.7837,33.538836],[-118.183517,33.763391],[-118.260194,33.703145],[-118.413548,33.741483],[-118.391641,33.840068],[-118.566903,34.042715],[-118.802411,33.998899],[-119.218659,34.146777],[-119.278905,34.26727],[-119.558229,34.415147],[-119.875891,34.40967],[-120.138784,34.475393],[-120.472878,34.448009],[-120.64814,34.579455],[-120.609801,34.858779],[-120.670048,34.902595],[-120.631709,35.099764],[-120.894602,35.247642],[-120.905556,35.450289],[-121.004141,35.461243],[-121.168449,35.636505],[-121.283465,35.674843],[-121.332757,35.784382],[-121.716143,36.195153],[-121.896882,36.315645],[-121.935221,36.638785],[-121.858544,36.6114],[-121.787344,36.803093],[-121.929744,36.978355],[-122.105006,36.956447],[-122.335038,37.115279],[-122.417192,37.241248],[-122.400761,37.361741],[-122.515777,37.520572],[-122.515777,37.783465],[-122.329561,37.783465],[-122.406238,38.15042],[-122.488392,38.112082],[-122.504823,37.931343],[-122.701993,37.893004],[-122.937501,38.029928],[-122.97584,38.265436],[-123.129194,38.451652],[-123.331841,38.566668],[-123.44138,38.698114],[-123.737134,38.95553],[-123.687842,39.032208],[-123.824765,39.366301],[-123.764519,39.552517],[-123.85215,39.831841],[-124.109566,40.105688],[-124.361506,40.259042],[-124.410798,40.439781],[-124.158859,40.877937],[-124.109566,41.025814],[-124.158859,41.14083],[-124.065751,41.442061],[-124.147905,41.715908],[-124.257444,41.781632],[-124.213628,42.000709],[-123.233256,42.006186]]]}},</t>
  </si>
  <si>
    <t xml:space="preserve">    {"type":"Feature","id":"08","properties":{"name":"Colorado","hv01":0.078,"hv02":0.035,"hv03":0.028,"hv04":0.032,"hv05":0.036,"hv06":0.02,"hv07":-0.014,"hv08":-0.037,"hv09":-0.017,"hv10":-0.032,"hv11":-0.017,"hv12":0.063,"hv13":0.081,"hv14":0.092,"hv15":0.135,"hv16":0.106,"hv17":0.08},"geometry":{"type":"Polygon","coordinates":[[[-107.919731,41.003906],[-105.728954,40.998429],[-104.053011,41.003906],[-102.053927,41.003906],[-102.053927,40.001626],[-102.042974,36.994786],[-103.001438,37.000263],[-104.337812,36.994786],[-106.868158,36.994786],[-107.421329,37.000263],[-109.042503,37.000263],[-109.042503,38.166851],[-109.058934,38.27639],[-109.053457,39.125316],[-109.04798,40.998429],[-107.919731,41.003906]]]}},</t>
  </si>
  <si>
    <t xml:space="preserve">    {"type":"Feature","id":"09","properties":{"name":"Connecticut","hv01":0.104,"hv02":0.118,"hv03":0.144,"hv04":0.127,"hv05":0.097,"hv06":0,"hv07":-0.036,"hv08":-0.075,"hv09":-0.051,"hv10":-0.042,"hv11":-0.053,"hv12":-0.022,"hv13":0.027,"hv14":-0.003,"hv15":0.007,"hv16":0.019,"hv17":0.04},"geometry":{"type":"Polygon","coordinates":[[[-73.053528,42.039048],[-71.799309,42.022617],[-71.799309,42.006186],[-71.799309,41.414677],[-71.859555,41.321569],[-71.947186,41.338],[-72.385341,41.261322],[-72.905651,41.28323],[-73.130205,41.146307],[-73.371191,41.102491],[-73.655992,40.987475],[-73.727192,41.102491],[-73.48073,41.21203],[-73.55193,41.294184],[-73.486206,42.050002],[-73.053528,42.039048]]]}},</t>
  </si>
  <si>
    <t xml:space="preserve">    {"type":"Feature","id":"10","properties":{"name":"Delaware","hv01":0.081,"hv02":0.087,"hv03":0.137,"hv04":0.234,"hv05":0.05,"hv06":0.057,"hv07":0.015,"hv08":-0.031,"hv09":-0.049,"hv10":0.025,"hv11":-0.117,"hv12":-0.055,"hv13":0.042,"hv14":0.026,"hv15":0.047,"hv16":0.05,"hv17":0.079},"geometry":{"type":"Polygon","coordinates":[[[-75.414089,39.804456],[-75.507197,39.683964],[-75.611259,39.61824],[-75.589352,39.459409],[-75.441474,39.311532],[-75.403136,39.065069],[-75.189535,38.807653],[-75.09095,38.796699],[-75.047134,38.451652],[-75.693413,38.462606],[-75.786521,39.722302],[-75.616736,39.831841],[-75.414089,39.804456]]]}},</t>
  </si>
  <si>
    <t xml:space="preserve">    {"type":"Feature","id":"11","properties":{"name":"District of Columbia","hv01":0.169,"hv02":0.235,"hv03":0.239,"hv04":0.253,"hv05":0.141,"hv06":0.022,"hv07":-0.006,"hv08":-0.072,"hv09":-0.043,"hv10":0.008,"hv11":-0.009,"hv12":0.091,"hv13":0.115,"hv14":0.055,"hv15":0.067,"hv16":0.094,"hv17":0.038},"geometry":{"type":"Polygon","coordinates":[[[-77.035264,38.993869],[-76.909294,38.895284],[-77.040741,38.791222],[-77.117418,38.933623],[-77.035264,38.993869]]]}},</t>
  </si>
  <si>
    <t xml:space="preserve">    {"type":"Feature","id":"12","properties":{"name":"Florida","hv01":0.127,"hv02":0.094,"hv03":0.132,"hv04":0.222,"hv05":0.303,"hv06":0.062,"hv07":-0.132,"hv08":-0.214,"hv09":-0.179,"hv10":-0.086,"hv11":-0.053,"hv12":0.041,"hv13":0.124,"hv14":0.092,"hv15":0.099,"hv16":0.125,"hv17":0.096},"geometry":{"type":"Polygon","coordinates":[[[-85.497137,30.997536],[-85.004212,31.003013],[-84.867289,30.712735],[-83.498053,30.647012],[-82.216449,30.570335],[-82.167157,30.356734],[-82.046664,30.362211],[-82.002849,30.564858],[-82.041187,30.751074],[-81.948079,30.827751],[-81.718048,30.745597],[-81.444201,30.707258],[-81.383954,30.27458],[-81.257985,29.787132],[-80.967707,29.14633],[-80.524075,28.461713],[-80.589798,28.41242],[-80.56789,28.094758],[-80.381674,27.738757],[-80.091397,27.021277],[-80.03115,26.796723],[-80.036627,26.566691],[-80.146166,25.739673],[-80.239274,25.723243],[-80.337859,25.465826],[-80.304997,25.383672],[-80.49669,25.197456],[-80.573367,25.241272],[-80.759583,25.164595],[-81.077246,25.120779],[-81.170354,25.224841],[-81.126538,25.378195],[-81.351093,25.821827],[-81.526355,25.903982],[-81.679709,25.843735],[-81.800202,26.090198],[-81.833064,26.292844],[-82.041187,26.517399],[-82.09048,26.665276],[-82.057618,26.878877],[-82.172634,26.917216],[-82.145249,26.791246],[-82.249311,26.758384],[-82.566974,27.300601],[-82.692943,27.437525],[-82.391711,27.837342],[-82.588881,27.815434],[-82.720328,27.689464],[-82.851774,27.886634],[-82.676512,28.434328],[-82.643651,28.888914],[-82.764143,28.998453],[-82.802482,29.14633],[-82.994175,29.179192],[-83.218729,29.420177],[-83.399469,29.518762],[-83.410422,29.66664],[-83.536392,29.721409],[-83.640454,29.885717],[-84.02384,30.104795],[-84.357933,30.055502],[-84.341502,29.902148],[-84.451041,29.929533],[-84.867289,29.743317],[-85.310921,29.699501],[-85.299967,29.80904],[-85.404029,29.940487],[-85.924338,30.236241],[-86.29677,30.362211],[-86.630863,30.395073],[-86.910187,30.373165],[-87.518128,30.280057],[-87.37025,30.427934],[-87.446927,30.510088],[-87.408589,30.674397],[-87.633143,30.86609],[-87.600282,30.997536],[-85.497137,30.997536]]]}},</t>
  </si>
  <si>
    <t xml:space="preserve">    {"type":"Feature","id":"13","properties":{"name":"Georgia","hv01":0.06,"hv02":0.052,"hv03":0.029,"hv04":0.054,"hv05":0.038,"hv06":0.044,"hv07":-0.002,"hv08":-0.078,"hv09":-0.086,"hv10":-0.075,"hv11":-0.113,"hv12":0.009,"hv13":0.098,"hv14":0.09,"hv15":0.06,"hv16":0.083,"hv17":0.078},"geometry":{"type":"Polygon","coordinates":[[[-83.109191,35.00118],[-83.322791,34.787579],[-83.339222,34.683517],[-83.005129,34.469916],[-82.901067,34.486347],[-82.747713,34.26727],[-82.714851,34.152254],[-82.55602,33.94413],[-82.325988,33.81816],[-82.194542,33.631944],[-81.926172,33.462159],[-81.937125,33.347144],[-81.761863,33.160928],[-81.493493,33.007573],[-81.42777,32.843265],[-81.416816,32.629664],[-81.279893,32.558464],[-81.121061,32.290094],[-81.115584,32.120309],[-80.885553,32.032678],[-81.132015,31.693108],[-81.175831,31.517845],[-81.279893,31.364491],[-81.290846,31.20566],[-81.400385,31.13446],[-81.444201,30.707258],[-81.718048,30.745597],[-81.948079,30.827751],[-82.041187,30.751074],[-82.002849,30.564858],[-82.046664,30.362211],[-82.167157,30.356734],[-82.216449,30.570335],[-83.498053,30.647012],[-84.867289,30.712735],[-85.004212,31.003013],[-85.113751,31.27686],[-85.042551,31.539753],[-85.141136,31.840985],[-85.053504,32.01077],[-85.058981,32.13674],[-84.889196,32.262709],[-85.004212,32.322956],[-84.960397,32.421541],[-85.069935,32.580372],[-85.184951,32.859696],[-85.431413,34.124869],[-85.606675,34.984749],[-84.319594,34.990226],[-83.618546,34.984749],[-83.109191,35.00118]]]}},</t>
  </si>
  <si>
    <t xml:space="preserve">    {"type":"Feature","id":"15","properties":{"name":"Hawaii","hv01":0.055,"hv02":0.116,"hv03":0.218,"hv04":0.322,"hv05":0.233,"hv06":0.05,"hv07":-0.031,"hv08":-0.103,"hv09":-0.091,"hv10":-0.014,"hv11":-0.035,"hv12":0.06,"hv13":0.091,"hv14":0.077,"hv15":0.049,"hv16":0.08,"hv17":0.039},"geometry":{"type":"MultiPolygon","coordinates":[[[[-155.634835,18.948267],[-155.881297,19.035898],[-155.919636,19.123529],[-155.886774,19.348084],[-156.062036,19.73147],[-155.925113,19.857439],[-155.826528,20.032702],[-155.897728,20.147717],[-155.87582,20.26821],[-155.596496,20.12581],[-155.284311,20.021748],[-155.092618,19.868393],[-155.092618,19.736947],[-154.807817,19.523346],[-154.983079,19.348084],[-155.295265,19.26593],[-155.514342,19.134483],[-155.634835,18.948267]]],[[[-156.587823,21.029505],[-156.472807,20.892581],[-156.324929,20.952827],[-156.00179,20.793996],[-156.051082,20.651596],[-156.379699,20.580396],[-156.445422,20.60778],[-156.461853,20.783042],[-156.631638,20.821381],[-156.697361,20.919966],[-156.587823,21.029505]]],[[[-156.982162,21.210244],[-157.080747,21.106182],[-157.310779,21.106182],[-157.239579,21.221198],[-156.982162,21.210244]]],[[[-157.951581,21.697691],[-157.842042,21.462183],[-157.896811,21.325259],[-158.110412,21.303352],[-158.252813,21.582676],[-158.126843,21.588153],[-157.951581,21.697691]]],[[[-159.468693,22.228955],[-159.353678,22.218001],[-159.298908,22.113939],[-159.33177,21.966061],[-159.446786,21.872953],[-159.764448,21.987969],[-159.726109,22.152277],[-159.468693,22.228955]]]]}},</t>
  </si>
  <si>
    <t xml:space="preserve">    {"type":"Feature","id":"16","properties":{"name":"Idaho","hv01":-0.008,"hv02":0.028,"hv03":0.038,"hv04":0.077,"hv05":0.171,"hv06":0.135,"hv07":0.014,"hv08":-0.058,"hv09":-0.084,"hv10":-0.087,"hv11":-0.06,"hv12":0.046,"hv13":0.097,"hv14":0.056,"hv15":0.063,"hv16":0.085,"hv17":0.106},"geometry":{"type":"Polygon","coordinates":[[[-116.04751,49.000239],[-116.04751,47.976051],[-115.724371,47.696727],[-115.718894,47.42288],[-115.527201,47.302388],[-115.324554,47.258572],[-115.302646,47.187372],[-114.930214,46.919002],[-114.886399,46.809463],[-114.623506,46.705401],[-114.612552,46.639678],[-114.322274,46.645155],[-114.464674,46.272723],[-114.492059,46.037214],[-114.387997,45.88386],[-114.568736,45.774321],[-114.497536,45.670259],[-114.546828,45.560721],[-114.333228,45.456659],[-114.086765,45.593582],[-113.98818,45.703121],[-113.807441,45.604536],[-113.834826,45.522382],[-113.736241,45.330689],[-113.571933,45.128042],[-113.45144,45.056842],[-113.456917,44.865149],[-113.341901,44.782995],[-113.133778,44.772041],[-113.002331,44.448902],[-112.887315,44.394132],[-112.783254,44.48724],[-112.471068,44.481763],[-112.241036,44.569394],[-112.104113,44.520102],[-111.868605,44.563917],[-111.819312,44.509148],[-111.616665,44.547487],[-111.386634,44.75561],[-111.227803,44.580348],[-111.047063,44.476286],[-111.047063,42.000709],[-112.164359,41.995232],[-114.04295,41.995232],[-117.027882,42.000709],[-117.027882,43.830007],[-116.896436,44.158624],[-116.97859,44.240778],[-117.170283,44.257209],[-117.241483,44.394132],[-117.038836,44.750133],[-116.934774,44.782995],[-116.830713,44.930872],[-116.847143,45.02398],[-116.732128,45.144473],[-116.671881,45.319735],[-116.463758,45.61549],[-116.545912,45.752413],[-116.78142,45.823614],[-116.918344,45.993399],[-116.92382,46.168661],[-117.055267,46.343923],[-117.038836,46.426077],[-117.044313,47.762451],[-117.033359,49.000239],[-116.04751,49.000239]]]}},</t>
  </si>
  <si>
    <t xml:space="preserve">    {"type":"Feature","id":"17","properties":{"name":"Illinois","hv01":0.073,"hv02":0.065,"hv03":0.059,"hv04":0.077,"hv05":0.078,"hv06":0.044,"hv07":-0.019,"hv08":-0.091,"hv09":-0.103,"hv10":-0.076,"hv11":-0.089,"hv12":-0.012,"hv13":0.05,"hv14":0.051,"hv15":0.045,"hv16":0.046,"hv17":0.05},"geometry":{"type":"Polygon","coordinates":[[[-90.639984,42.510065],[-88.788778,42.493634],[-87.802929,42.493634],[-87.83579,42.301941],[-87.682436,42.077386],[-87.523605,41.710431],[-87.529082,39.34987],[-87.63862,39.169131],[-87.512651,38.95553],[-87.49622,38.780268],[-87.62219,38.637868],[-87.655051,38.506421],[-87.83579,38.292821],[-87.950806,38.27639],[-87.923421,38.15042],[-88.000098,38.101128],[-88.060345,37.865619],[-88.027483,37.799896],[-88.15893,37.657496],[-88.065822,37.482234],[-88.476592,37.389126],[-88.514931,37.285064],[-88.421823,37.153617],[-88.547792,37.071463],[-88.914747,37.224817],[-89.029763,37.213863],[-89.183118,37.038601],[-89.133825,36.983832],[-89.292656,36.994786],[-89.517211,37.279587],[-89.435057,37.34531],[-89.517211,37.537003],[-89.517211,37.690357],[-89.84035,37.903958],[-89.949889,37.88205],[-90.059428,38.013497],[-90.355183,38.216144],[-90.349706,38.374975],[-90.179921,38.632391],[-90.207305,38.725499],[-90.10872,38.845992],[-90.251121,38.917192],[-90.470199,38.961007],[-90.585214,38.867899],[-90.661891,38.928146],[-90.727615,39.256762],[-91.061708,39.470363],[-91.368417,39.727779],[-91.494386,40.034488],[-91.50534,40.237135],[-91.417709,40.379535],[-91.401278,40.560274],[-91.121954,40.669813],[-91.09457,40.823167],[-90.963123,40.921752],[-90.946692,41.097014],[-91.111001,41.239415],[-91.045277,41.414677],[-90.656414,41.463969],[-90.344229,41.589939],[-90.311367,41.743293],[-90.179921,41.809016],[-90.141582,42.000709],[-90.168967,42.126679],[-90.393521,42.225264],[-90.420906,42.329326],[-90.639984,42.510065]]]}},</t>
  </si>
  <si>
    <t xml:space="preserve">    {"type":"Feature","id":"18","properties":{"name":"Indiana","hv01":0.074,"hv02":0.001,"hv03":0.002,"hv04":0.036,"hv05":0.068,"hv06":0.024,"hv07":0.003,"hv08":-0.035,"hv09":-0.051,"hv10":0,"hv11":-0.034,"hv12":0.011,"hv13":-0.009,"hv14":0.035,"hv15":0.036,"hv16":0.071,"hv17":0.068},"geometry":{"type":"Polygon","coordinates":[[[-85.990061,41.759724],[-84.807042,41.759724],[-84.807042,41.694001],[-84.801565,40.500028],[-84.817996,39.103408],[-84.894673,39.059592],[-84.812519,38.785745],[-84.987781,38.780268],[-85.173997,38.68716],[-85.431413,38.730976],[-85.42046,38.533806],[-85.590245,38.451652],[-85.655968,38.325682],[-85.83123,38.27639],[-85.924338,38.024451],[-86.039354,37.958727],[-86.263908,38.051835],[-86.302247,38.166851],[-86.521325,38.040881],[-86.504894,37.931343],[-86.729448,37.893004],[-86.795172,37.991589],[-87.047111,37.893004],[-87.129265,37.788942],[-87.381204,37.93682],[-87.512651,37.903958],[-87.600282,37.975158],[-87.682436,37.903958],[-87.934375,37.893004],[-88.027483,37.799896],[-88.060345,37.865619],[-88.000098,38.101128],[-87.923421,38.15042],[-87.950806,38.27639],[-87.83579,38.292821],[-87.655051,38.506421],[-87.62219,38.637868],[-87.49622,38.780268],[-87.512651,38.95553],[-87.63862,39.169131],[-87.529082,39.34987],[-87.523605,41.710431],[-87.42502,41.644708],[-87.118311,41.644708],[-86.822556,41.759724],[-85.990061,41.759724]]]}},</t>
  </si>
  <si>
    <t xml:space="preserve">    {"type":"Feature","id":"19","properties":{"name":"Iowa","hv01":0.043,"hv02":0.05,"hv03":0.04,"hv04":0.063,"hv05":0.05,"hv06":0.038,"hv07":0.024,"hv08":-0.003,"hv09":0.005,"hv10":0.001,"hv11":-0.008,"hv12":0.022,"hv13":0.028,"hv14":0.035,"hv15":0.042,"hv16":0.041,"hv17":0.053},"geometry":{"type":"Polygon","coordinates":[[[-91.368417,43.501391],[-91.215062,43.501391],[-91.204109,43.353514],[-91.056231,43.254929],[-91.176724,43.134436],[-91.143862,42.909881],[-91.067185,42.75105],[-90.711184,42.636034],[-90.639984,42.510065],[-90.420906,42.329326],[-90.393521,42.225264],[-90.168967,42.126679],[-90.141582,42.000709],[-90.179921,41.809016],[-90.311367,41.743293],[-90.344229,41.589939],[-90.656414,41.463969],[-91.045277,41.414677],[-91.111001,41.239415],[-90.946692,41.097014],[-90.963123,40.921752],[-91.09457,40.823167],[-91.121954,40.669813],[-91.401278,40.560274],[-91.417709,40.379535],[-91.527248,40.412397],[-91.729895,40.615043],[-91.833957,40.609566],[-93.257961,40.582182],[-94.632673,40.571228],[-95.7664,40.587659],[-95.881416,40.719105],[-95.826646,40.976521],[-95.925231,41.201076],[-95.919754,41.453015],[-96.095016,41.540646],[-96.122401,41.67757],[-96.062155,41.798063],[-96.127878,41.973325],[-96.264801,42.039048],[-96.44554,42.488157],[-96.631756,42.707235],[-96.544125,42.855112],[-96.511264,43.052282],[-96.434587,43.123482],[-96.560556,43.222067],[-96.527695,43.397329],[-96.582464,43.479483],[-96.451017,43.501391],[-91.368417,43.501391]]]}},</t>
  </si>
  <si>
    <t xml:space="preserve">    {"type":"Feature","id":"20","properties":{"name":"Kansas","hv01":0.06,"hv02":0.016,"hv03":0.033,"hv04":0.087,"hv05":0.004,"hv06":0.029,"hv07":0.035,"hv08":-0.022,"hv09":-0.014,"hv10":-0.014,"hv11":-0.041,"hv12":0.002,"hv13":0.017,"hv14":0.027,"hv15":0.028,"hv16":0.066,"hv17":0.054},"geometry":{"type":"Polygon","coordinates":[[[-101.90605,40.001626],[-95.306337,40.001626],[-95.207752,39.908518],[-94.884612,39.831841],[-95.109167,39.541563],[-94.983197,39.442978],[-94.824366,39.20747],[-94.610765,39.158177],[-94.616242,37.000263],[-100.087706,37.000263],[-102.042974,36.994786],[-102.053927,40.001626],[-101.90605,40.001626]]]}},</t>
  </si>
  <si>
    <t xml:space="preserve">    {"type":"Feature","id":"21","properties":{"name":"Kentucky","hv01":0.056,"hv02":0.055,"hv03":0.048,"hv04":0.048,"hv05":0.016,"hv06":0.05,"hv07":-0.009,"hv08":-0.014,"hv09":-0.01,"hv10":0.015,"hv11":-0.034,"hv12":0.004,"hv13":0.013,"hv14":0.02,"hv15":0.044,"hv16":0.057,"hv17":0.066},"geometry":{"type":"Polygon","coordinates":[[[-83.903347,38.769315],[-83.678792,38.632391],[-83.519961,38.703591],[-83.142052,38.626914],[-83.032514,38.725499],[-82.890113,38.758361],[-82.846298,38.588575],[-82.731282,38.561191],[-82.594358,38.424267],[-82.621743,38.123036],[-82.50125,37.931343],[-82.342419,37.783465],[-82.293127,37.668449],[-82.101434,37.553434],[-81.969987,37.537003],[-82.353373,37.268633],[-82.720328,37.120755],[-82.720328,37.044078],[-82.868205,36.978355],[-82.879159,36.890724],[-83.070852,36.852385],[-83.136575,36.742847],[-83.673316,36.600446],[-83.689746,36.584015],[-84.544149,36.594969],[-85.289013,36.627831],[-85.486183,36.616877],[-86.592525,36.655216],[-87.852221,36.633308],[-88.071299,36.677123],[-88.054868,36.496384],[-89.298133,36.507338],[-89.418626,36.496384],[-89.363857,36.622354],[-89.215979,36.578538],[-89.133825,36.983832],[-89.183118,37.038601],[-89.029763,37.213863],[-88.914747,37.224817],[-88.547792,37.071463],[-88.421823,37.153617],[-88.514931,37.285064],[-88.476592,37.389126],[-88.065822,37.482234],[-88.15893,37.657496],[-88.027483,37.799896],[-87.934375,37.893004],[-87.682436,37.903958],[-87.600282,37.975158],[-87.512651,37.903958],[-87.381204,37.93682],[-87.129265,37.788942],[-87.047111,37.893004],[-86.795172,37.991589],[-86.729448,37.893004],[-86.504894,37.931343],[-86.521325,38.040881],[-86.302247,38.166851],[-86.263908,38.051835],[-86.039354,37.958727],[-85.924338,38.024451],[-85.83123,38.27639],[-85.655968,38.325682],[-85.590245,38.451652],[-85.42046,38.533806],[-85.431413,38.730976],[-85.173997,38.68716],[-84.987781,38.780268],[-84.812519,38.785745],[-84.894673,39.059592],[-84.817996,39.103408],[-84.43461,39.103408],[-84.231963,38.895284],[-84.215533,38.807653],[-83.903347,38.769315]]]}},</t>
  </si>
  <si>
    <t xml:space="preserve">    {"type":"Feature","id":"22","properties":{"name":"Louisiana","hv01":-0.051,"hv02":0.03,"hv03":0.076,"hv04":0.055,"hv05":0.071,"hv06":0.065,"hv07":0.041,"hv08":0.007,"hv09":0.006,"hv10":-0.012,"hv11":-0.041,"hv12":0.002,"hv13":0.025,"hv14":0.027,"hv15":0.032,"hv16":0.063,"hv17":0.035},"geometry":{"type":"Polygon","coordinates":[[[-93.608485,33.018527],[-91.16577,33.002096],[-91.072662,32.887081],[-91.143862,32.843265],[-91.154816,32.640618],[-91.006939,32.514649],[-90.985031,32.218894],[-91.105524,31.988862],[-91.341032,31.846462],[-91.401278,31.621907],[-91.499863,31.643815],[-91.516294,31.27686],[-91.636787,31.265906],[-91.565587,31.068736],[-91.636787,30.997536],[-89.747242,30.997536],[-89.845827,30.66892],[-89.681519,30.449842],[-89.643181,30.285534],[-89.522688,30.181472],[-89.818443,30.044549],[-89.84035,29.945964],[-89.599365,29.88024],[-89.495303,30.039072],[-89.287179,29.88024],[-89.30361,29.754271],[-89.424103,29.699501],[-89.648657,29.748794],[-89.621273,29.655686],[-89.69795,29.513285],[-89.506257,29.387316],[-89.199548,29.348977],[-89.09001,29.2011],[-89.002379,29.179192],[-89.16121,29.009407],[-89.336472,29.042268],[-89.484349,29.217531],[-89.851304,29.310638],[-89.851304,29.480424],[-90.032043,29.425654],[-90.021089,29.283254],[-90.103244,29.151807],[-90.23469,29.129899],[-90.333275,29.277777],[-90.563307,29.283254],[-90.645461,29.129899],[-90.798815,29.086084],[-90.963123,29.179192],[-91.09457,29.190146],[-91.220539,29.436608],[-91.445094,29.546147],[-91.532725,29.529716],[-91.620356,29.73784],[-91.883249,29.710455],[-91.888726,29.836425],[-92.146142,29.715932],[-92.113281,29.622824],[-92.31045,29.535193],[-92.617159,29.579009],[-92.97316,29.715932],[-93.2251,29.776178],[-93.767317,29.726886],[-93.838517,29.688547],[-93.926148,29.787132],[-93.690639,30.143133],[-93.767317,30.334826],[-93.696116,30.438888],[-93.728978,30.575812],[-93.630393,30.679874],[-93.526331,30.93729],[-93.542762,31.15089],[-93.816609,31.556184],[-93.822086,31.775262],[-94.041164,31.994339],[-94.041164,33.018527],[-93.608485,33.018527]]]}},</t>
  </si>
  <si>
    <t xml:space="preserve">    {"type":"Feature","id":"23","properties":{"name":"Maine","hv01":0.127,"hv02":0.109,"hv03":0.133,"hv04":0.134,"hv05":0.081,"hv06":-0.008,"hv07":-0.011,"hv08":-0.103,"hv09":-0.032,"hv10":0.017,"hv11":-0.037,"hv12":0.029,"hv13":0.021,"hv14":0.033,"hv15":0.026,"hv16":0.076,"hv17":0.074},"geometry":{"type":"Polygon","coordinates":[[[-70.703921,43.057759],[-70.824413,43.128959],[-70.807983,43.227544],[-70.966814,43.34256],[-71.032537,44.657025],[-71.08183,45.303304],[-70.649151,45.440228],[-70.720352,45.511428],[-70.556043,45.664782],[-70.386258,45.735983],[-70.41912,45.796229],[-70.260289,45.889337],[-70.309581,46.064599],[-70.210996,46.327492],[-70.057642,46.415123],[-69.997395,46.694447],[-69.225147,47.461219],[-69.044408,47.428357],[-69.033454,47.242141],[-68.902007,47.176418],[-68.578868,47.285957],[-68.376221,47.285957],[-68.233821,47.357157],[-67.954497,47.198326],[-67.790188,47.066879],[-67.779235,45.944106],[-67.801142,45.675736],[-67.456095,45.604536],[-67.505388,45.48952],[-67.417757,45.379982],[-67.488957,45.281397],[-67.346556,45.128042],[-67.16034,45.160904],[-66.979601,44.804903],[-67.187725,44.646072],[-67.308218,44.706318],[-67.406803,44.596779],[-67.549203,44.624164],[-67.565634,44.531056],[-67.75185,44.54201],[-68.047605,44.328409],[-68.118805,44.476286],[-68.222867,44.48724],[-68.173574,44.328409],[-68.403606,44.251732],[-68.458375,44.377701],[-68.567914,44.311978],[-68.82533,44.311978],[-68.830807,44.459856],[-68.984161,44.426994],[-68.956777,44.322932],[-69.099177,44.103854],[-69.071793,44.043608],[-69.258008,43.923115],[-69.444224,43.966931],[-69.553763,43.840961],[-69.707118,43.82453],[-69.833087,43.720469],[-69.986442,43.742376],[-70.030257,43.851915],[-70.254812,43.676653],[-70.194565,43.567114],[-70.358873,43.528776],[-70.369827,43.435668],[-70.556043,43.320652],[-70.703921,43.057759]]]}},</t>
  </si>
  <si>
    <t xml:space="preserve">    {"type":"Feature","id":"24","properties":{"name":"Maryland","hv01":0.089,"hv02":0.139,"hv03":0.169,"hv04":0.246,"hv05":0.201,"hv06":0.056,"hv07":-0.053,"hv08":-0.121,"hv09":-0.098,"hv10":-0.056,"hv11":-0.065,"hv12":0.031,"hv13":0.055,"hv14":0.025,"hv15":0.021,"hv16":0.048,"hv17":0.041},"geometry":{"type":"MultiPolygon","coordinates":[[[[-75.994645,37.95325],[-76.016553,37.95325],[-76.043938,37.95325],[-75.994645,37.95325]]],[[[-79.477979,39.722302],[-75.786521,39.722302],[-75.693413,38.462606],[-75.047134,38.451652],[-75.244304,38.029928],[-75.397659,38.013497],[-75.671506,37.95325],[-75.885106,37.909435],[-75.879629,38.073743],[-75.961783,38.139466],[-75.846768,38.210667],[-76.000122,38.374975],[-76.049415,38.303775],[-76.257538,38.320205],[-76.328738,38.500944],[-76.263015,38.500944],[-76.257538,38.736453],[-76.191815,38.829561],[-76.279446,39.147223],[-76.169907,39.333439],[-76.000122,39.366301],[-75.972737,39.557994],[-76.098707,39.536086],[-76.104184,39.437501],[-76.367077,39.311532],[-76.443754,39.196516],[-76.460185,38.906238],[-76.55877,38.769315],[-76.514954,38.539283],[-76.383508,38.380452],[-76.399939,38.259959],[-76.317785,38.139466],[-76.3616,38.057312],[-76.591632,38.216144],[-76.920248,38.292821],[-77.018833,38.446175],[-77.205049,38.358544],[-77.276249,38.479037],[-77.128372,38.632391],[-77.040741,38.791222],[-76.909294,38.895284],[-77.035264,38.993869],[-77.117418,38.933623],[-77.248864,39.026731],[-77.456988,39.076023],[-77.456988,39.223901],[-77.566527,39.306055],[-77.719881,39.322485],[-77.834897,39.601809],[-78.004682,39.601809],[-78.174467,39.694917],[-78.267575,39.61824],[-78.431884,39.623717],[-78.470222,39.514178],[-78.765977,39.585379],[-78.963147,39.437501],[-79.094593,39.470363],[-79.291763,39.300578],[-79.488933,39.20747],[-79.477979,39.722302]]]]}},</t>
  </si>
  <si>
    <t xml:space="preserve">    {"type":"Feature","id":"25","properties":{"name":"Massachusetts","hv01":0.162,"hv02":0.136,"hv03":0.101,"hv04":0.099,"hv05":0.035,"hv06":-0.053,"hv07":-0.048,"hv08":-0.072,"hv09":-0.027,"hv10":-0.015,"hv11":-0.04,"hv12":0.028,"hv13":0.074,"hv14":0.047,"hv15":0.044,"hv16":0.073,"hv17":0.072},"geometry":{"type":"Polygon","coordinates":[[[-70.917521,42.887974],[-70.818936,42.871543],[-70.780598,42.696281],[-70.824413,42.55388],[-70.983245,42.422434],[-70.988722,42.269079],[-70.769644,42.247172],[-70.638197,42.08834],[-70.660105,41.962371],[-70.550566,41.929509],[-70.539613,41.814493],[-70.260289,41.715908],[-69.937149,41.809016],[-70.008349,41.672093],[-70.484843,41.5516],[-70.660105,41.546123],[-70.764167,41.639231],[-70.928475,41.611847],[-70.933952,41.540646],[-71.120168,41.496831],[-71.196845,41.67757],[-71.22423,41.710431],[-71.328292,41.781632],[-71.383061,42.01714],[-71.530939,42.01714],[-71.799309,42.006186],[-71.799309,42.022617],[-73.053528,42.039048],[-73.486206,42.050002],[-73.508114,42.08834],[-73.267129,42.745573],[-72.456542,42.729142],[-71.29543,42.696281],[-71.185891,42.789389],[-70.917521,42.887974]]]}},</t>
  </si>
  <si>
    <t xml:space="preserve">    {"type":"Feature","id":"26","properties":{"name":"Michigan","hv01":0.043,"hv02":0.051,"hv03":0.034,"hv04":0.048,"hv05":0.029,"hv06":-0.021,"hv07":-0.076,"hv08":-0.138,"hv09":-0.14,"hv10":-0.059,"hv11":-0.055,"hv12":0.064,"hv13":0.121,"hv14":0.102,"hv15":0.086,"hv16":0.089,"hv17":0.083},"geometry":{"type":"MultiPolygon","coordinates":[[[[-83.454238,41.732339],[-84.807042,41.694001],[-84.807042,41.759724],[-85.990061,41.759724],[-86.822556,41.759724],[-86.619909,41.891171],[-86.482986,42.115725],[-86.357016,42.252649],[-86.263908,42.444341],[-86.209139,42.718189],[-86.231047,43.013943],[-86.526801,43.594499],[-86.433693,43.813577],[-86.499417,44.07647],[-86.269385,44.34484],[-86.220093,44.569394],[-86.252954,44.689887],[-86.088646,44.73918],[-86.066738,44.903488],[-85.809322,44.947303],[-85.612152,45.128042],[-85.628583,44.766564],[-85.524521,44.750133],[-85.393075,44.930872],[-85.387598,45.237581],[-85.305444,45.314258],[-85.031597,45.363551],[-85.119228,45.577151],[-84.938489,45.75789],[-84.713934,45.768844],[-84.461995,45.653829],[-84.215533,45.637398],[-84.09504,45.494997],[-83.908824,45.484043],[-83.596638,45.352597],[-83.4871,45.358074],[-83.317314,45.144473],[-83.454238,45.029457],[-83.322791,44.88158],[-83.273499,44.711795],[-83.333745,44.339363],[-83.536392,44.246255],[-83.585684,44.054562],[-83.82667,43.988839],[-83.958116,43.758807],[-83.908824,43.671176],[-83.667839,43.589022],[-83.481623,43.714992],[-83.262545,43.972408],[-82.917498,44.070993],[-82.747713,43.994316],[-82.643651,43.851915],[-82.539589,43.435668],[-82.523158,43.227544],[-82.413619,42.975605],[-82.517681,42.614127],[-82.681989,42.559357],[-82.687466,42.690804],[-82.797005,42.652465],[-82.922975,42.351234],[-83.125621,42.236218],[-83.185868,42.006186],[-83.437807,41.814493],[-83.454238,41.732339]]],[[[-85.508091,45.730506],[-85.49166,45.610013],[-85.623106,45.588105],[-85.568337,45.75789],[-85.508091,45.730506]]],[[[-87.589328,45.095181],[-87.742682,45.199243],[-87.649574,45.341643],[-87.885083,45.363551],[-87.791975,45.500474],[-87.781021,45.675736],[-87.989145,45.796229],[-88.10416,45.922199],[-88.531362,46.020784],[-88.662808,45.987922],[-89.09001,46.135799],[-90.119674,46.338446],[-90.229213,46.508231],[-90.415429,46.568478],[-90.026566,46.672539],[-89.851304,46.793032],[-89.413149,46.842325],[-89.128348,46.990202],[-88.996902,46.995679],[-88.887363,47.099741],[-88.575177,47.247618],[-88.416346,47.373588],[-88.180837,47.455742],[-87.956283,47.384542],[-88.350623,47.077833],[-88.443731,46.973771],[-88.438254,46.787555],[-88.246561,46.929956],[-87.901513,46.908048],[-87.633143,46.809463],[-87.392158,46.535616],[-87.260711,46.486323],[-87.008772,46.530139],[-86.948526,46.469893],[-86.696587,46.437031],[-86.159846,46.667063],[-85.880522,46.68897],[-85.508091,46.678016],[-85.256151,46.754694],[-85.064458,46.760171],[-85.02612,46.480847],[-84.82895,46.442508],[-84.63178,46.486323],[-84.549626,46.4206],[-84.418179,46.502754],[-84.127902,46.530139],[-84.122425,46.179615],[-83.990978,46.031737],[-83.793808,45.993399],[-83.7719,46.091984],[-83.580208,46.091984],[-83.476146,45.987922],[-83.563777,45.911245],[-84.111471,45.976968],[-84.374364,45.933153],[-84.659165,46.053645],[-84.741319,45.944106],[-84.70298,45.850998],[-84.82895,45.872906],[-85.015166,46.00983],[-85.338305,46.091984],[-85.502614,46.097461],[-85.661445,45.966014],[-85.924338,45.933153],[-86.209139,45.960537],[-86.324155,45.905768],[-86.351539,45.796229],[-86.663725,45.703121],[-86.647294,45.834568],[-86.784218,45.861952],[-86.838987,45.725029],[-87.069019,45.719552],[-87.17308,45.659305],[-87.326435,45.423797],[-87.611236,45.122565],[-87.589328,45.095181]]],[[[-88.805209,47.976051],[-89.057148,47.850082],[-89.188594,47.833651],[-89.177641,47.937713],[-88.547792,48.173221],[-88.668285,48.008913],[-88.805209,47.976051]]]]}},</t>
  </si>
  <si>
    <t xml:space="preserve">    {"type":"Feature","id":"27","properties":{"name":"Minnesota","hv01":0.133,"hv02":0.097,"hv03":0.082,"hv04":0.076,"hv05":0.055,"hv06":-0.013,"hv07":-0.043,"hv08":-0.1,"hv09":-0.062,"hv10":-0.055,"hv11":-0.065,"hv12":0.054,"hv13":0.088,"hv14":0.045,"hv15":0.062,"hv16":0.079,"hv17":0.081},"geometry":{"type":"Polygon","coordinates":[[[-92.014696,46.705401],[-92.091373,46.749217],[-92.29402,46.667063],[-92.29402,46.075553],[-92.354266,46.015307],[-92.639067,45.933153],[-92.869098,45.719552],[-92.885529,45.577151],[-92.770513,45.566198],[-92.644544,45.440228],[-92.75956,45.286874],[-92.737652,45.117088],[-92.808852,44.750133],[-92.545959,44.569394],[-92.337835,44.552964],[-92.233773,44.443425],[-91.927065,44.333886],[-91.877772,44.202439],[-91.592971,44.032654],[-91.43414,43.994316],[-91.242447,43.775238],[-91.269832,43.616407],[-91.215062,43.501391],[-91.368417,43.501391],[-96.451017,43.501391],[-96.451017,45.297827],[-96.681049,45.412843],[-96.856311,45.604536],[-96.582464,45.818137],[-96.560556,45.933153],[-96.598895,46.332969],[-96.719387,46.437031],[-96.801542,46.656109],[-96.785111,46.924479],[-96.823449,46.968294],[-96.856311,47.609096],[-97.053481,47.948667],[-97.130158,48.140359],[-97.16302,48.545653],[-97.097296,48.682577],[-97.228743,49.000239],[-95.152983,49.000239],[-95.152983,49.383625],[-94.955813,49.372671],[-94.824366,49.295994],[-94.69292,48.775685],[-94.588858,48.715438],[-94.260241,48.699007],[-94.221903,48.649715],[-93.838517,48.627807],[-93.794701,48.518268],[-93.466085,48.545653],[-93.466085,48.589469],[-93.208669,48.644238],[-92.984114,48.62233],[-92.726698,48.540176],[-92.655498,48.436114],[-92.50762,48.447068],[-92.370697,48.222514],[-92.304974,48.315622],[-92.053034,48.359437],[-92.009219,48.266329],[-91.713464,48.200606],[-91.713464,48.112975],[-91.565587,48.041775],[-91.264355,48.080113],[-91.083616,48.178698],[-90.837154,48.238944],[-90.749522,48.091067],[-90.579737,48.123929],[-90.377091,48.091067],[-90.141582,48.112975],[-89.873212,47.987005],[-89.615796,48.008913],[-89.637704,47.954144],[-89.971797,47.828174],[-90.437337,47.729589],[-90.738569,47.625527],[-91.171247,47.368111],[-91.357463,47.20928],[-91.642264,47.028541],[-92.091373,46.787555],[-92.014696,46.705401]]]}},</t>
  </si>
  <si>
    <t xml:space="preserve">    {"type":"Feature","id":"28","properties":{"name":"Mississippi","hv01":0.015,"hv02":0.018,"hv03":0.001,"hv04":0.182,"hv05":0.218,"hv06":0.137,"hv07":0.011,"hv08":-0.039,"hv09":-0.005,"hv10":0.038,"hv11":-0.083,"hv12":-0.022,"hv13":-0.037,"hv14":0.006,"hv15":0.069,"hv16":0.076,"hv17":0.02},"geometry":{"type":"Polygon","coordinates":[[[-88.471115,34.995703],[-88.202745,34.995703],[-88.098683,34.891641],[-88.241084,33.796253],[-88.471115,31.895754],[-88.394438,30.367688],[-88.503977,30.323872],[-88.744962,30.34578],[-88.843547,30.411504],[-89.084533,30.367688],[-89.418626,30.252672],[-89.522688,30.181472],[-89.643181,30.285534],[-89.681519,30.449842],[-89.845827,30.66892],[-89.747242,30.997536],[-91.636787,30.997536],[-91.565587,31.068736],[-91.636787,31.265906],[-91.516294,31.27686],[-91.499863,31.643815],[-91.401278,31.621907],[-91.341032,31.846462],[-91.105524,31.988862],[-90.985031,32.218894],[-91.006939,32.514649],[-91.154816,32.640618],[-91.143862,32.843265],[-91.072662,32.887081],[-91.16577,33.002096],[-91.089093,33.13902],[-91.143862,33.347144],[-91.056231,33.429298],[-91.231493,33.560744],[-91.072662,33.867453],[-90.891923,34.026284],[-90.952169,34.135823],[-90.744046,34.300131],[-90.749522,34.365854],[-90.568783,34.420624],[-90.585214,34.617794],[-90.481152,34.661609],[-90.409952,34.831394],[-90.251121,34.908072],[-90.311367,34.995703],[-88.471115,34.995703]]]}},</t>
  </si>
  <si>
    <t xml:space="preserve">    {"type":"Feature","id":"29","properties":{"name":"Missouri","hv01":0.065,"hv02":0.064,"hv03":0.045,"hv04":0.027,"hv05":0.057,"hv06":0.029,"hv07":-0.006,"hv08":-0.03,"hv09":-0.034,"hv10":-0.024,"hv11":-0.041,"hv12":0.002,"hv13":0.02,"hv14":0.017,"hv15":0.048,"hv16":0.047,"hv17":0.059},"geometry":{"type":"Polygon","coordinates":[[[-91.833957,40.609566],[-91.729895,40.615043],[-91.527248,40.412397],[-91.417709,40.379535],[-91.50534,40.237135],[-91.494386,40.034488],[-91.368417,39.727779],[-91.061708,39.470363],[-90.727615,39.256762],[-90.661891,38.928146],[-90.585214,38.867899],[-90.470199,38.961007],[-90.251121,38.917192],[-90.10872,38.845992],[-90.207305,38.725499],[-90.179921,38.632391],[-90.349706,38.374975],[-90.355183,38.216144],[-90.059428,38.013497],[-89.949889,37.88205],[-89.84035,37.903958],[-89.517211,37.690357],[-89.517211,37.537003],[-89.435057,37.34531],[-89.517211,37.279587],[-89.292656,36.994786],[-89.133825,36.983832],[-89.215979,36.578538],[-89.363857,36.622354],[-89.418626,36.496384],[-89.484349,36.496384],[-89.539119,36.496384],[-89.533642,36.249922],[-89.730812,35.997983],[-90.377091,35.997983],[-90.218259,36.184199],[-90.064905,36.304691],[-90.152536,36.496384],[-94.473842,36.501861],[-94.616242,36.501861],[-94.616242,37.000263],[-94.610765,39.158177],[-94.824366,39.20747],[-94.983197,39.442978],[-95.109167,39.541563],[-94.884612,39.831841],[-95.207752,39.908518],[-95.306337,40.001626],[-95.552799,40.264519],[-95.7664,40.587659],[-94.632673,40.571228],[-93.257961,40.582182],[-91.833957,40.609566]]]}},</t>
  </si>
  <si>
    <t xml:space="preserve">    {"type":"Feature","id":"30","properties":{"name":"Montana","hv01":0.054,"hv02":0.034,"hv03":-0.053,"hv04":0.082,"hv05":0.075,"hv06":0.075,"hv07":0.044,"hv08":0.01,"hv09":-0.009,"hv10":-0.001,"hv11":-0.013,"hv12":0.025,"hv13":0.027,"hv14":0.026,"hv15":0.026,"hv16":0.056,"hv17":0.029},"geometry":{"type":"Polygon","coordinates":[[[-104.047534,49.000239],[-104.042057,47.861036],[-104.047534,45.944106],[-104.042057,44.996596],[-104.058488,44.996596],[-105.91517,45.002073],[-109.080842,45.002073],[-111.05254,45.002073],[-111.047063,44.476286],[-111.227803,44.580348],[-111.386634,44.75561],[-111.616665,44.547487],[-111.819312,44.509148],[-111.868605,44.563917],[-112.104113,44.520102],[-112.241036,44.569394],[-112.471068,44.481763],[-112.783254,44.48724],[-112.887315,44.394132],[-113.002331,44.448902],[-113.133778,44.772041],[-113.341901,44.782995],[-113.456917,44.865149],[-113.45144,45.056842],[-113.571933,45.128042],[-113.736241,45.330689],[-113.834826,45.522382],[-113.807441,45.604536],[-113.98818,45.703121],[-114.086765,45.593582],[-114.333228,45.456659],[-114.546828,45.560721],[-114.497536,45.670259],[-114.568736,45.774321],[-114.387997,45.88386],[-114.492059,46.037214],[-114.464674,46.272723],[-114.322274,46.645155],[-114.612552,46.639678],[-114.623506,46.705401],[-114.886399,46.809463],[-114.930214,46.919002],[-115.302646,47.187372],[-115.324554,47.258572],[-115.527201,47.302388],[-115.718894,47.42288],[-115.724371,47.696727],[-116.04751,47.976051],[-116.04751,49.000239],[-111.50165,48.994762],[-109.453274,49.000239],[-104.047534,49.000239]]]}},</t>
  </si>
  <si>
    <t xml:space="preserve">    {"type":"Feature","id":"31","properties":{"name":"Nebraska","hv01":-0.151,"hv02":0.042,"hv03":0.074,"hv04":0.077,"hv05":0.046,"hv06":0.032,"hv07":-0.004,"hv08":-0.02,"hv09":0.003,"hv10":-0.007,"hv11":-0.012,"hv12":0.031,"hv13":0.028,"hv14":0.034,"hv15":0.054,"hv16":0.055,"hv17":0.071},"geometry":{"type":"Polygon","coordinates":[[[-103.324578,43.002989],[-101.626726,42.997512],[-98.499393,42.997512],[-98.466531,42.94822],[-97.951699,42.767481],[-97.831206,42.866066],[-97.688806,42.844158],[-97.217789,42.844158],[-96.692003,42.657942],[-96.626279,42.515542],[-96.44554,42.488157],[-96.264801,42.039048],[-96.127878,41.973325],[-96.062155,41.798063],[-96.122401,41.67757],[-96.095016,41.540646],[-95.919754,41.453015],[-95.925231,41.201076],[-95.826646,40.976521],[-95.881416,40.719105],[-95.7664,40.587659],[-95.552799,40.264519],[-95.306337,40.001626],[-101.90605,40.001626],[-102.053927,40.001626],[-102.053927,41.003906],[-104.053011,41.003906],[-104.053011,43.002989],[-103.324578,43.002989]]]}},</t>
  </si>
  <si>
    <t xml:space="preserve">    {"type":"Feature","id":"32","properties":{"name":"Nevada","hv01":0.073,"hv02":0.068,"hv03":0.184,"hv04":0.419,"hv05":0.114,"hv06":-0.016,"hv07":-0.129,"hv08":-0.248,"hv09":-0.236,"hv10":-0.085,"hv11":-0.1,"hv12":0.114,"hv13":0.242,"hv14":0.103,"hv15":0.093,"hv16":0.09,"hv17":0.122},"geometry":{"type":"Polygon","coordinates":[[[-117.027882,42.000709],[-114.04295,41.995232],[-114.048427,37.000263],[-114.048427,36.195153],[-114.152489,36.025367],[-114.251074,36.01989],[-114.371566,36.140383],[-114.738521,36.102045],[-114.678275,35.516012],[-114.596121,35.324319],[-114.574213,35.138103],[-114.634459,35.00118],[-115.85034,35.970598],[-116.540435,36.501861],[-117.498899,37.21934],[-118.71478,38.101128],[-120.001861,38.999346],[-119.996384,40.264519],[-120.001861,41.995232],[-118.698349,41.989755],[-117.027882,42.000709]]]}},</t>
  </si>
  <si>
    <t xml:space="preserve">    {"type":"Feature","id":"33","properties":{"name":"New Hampshire","hv01":0.139,"hv02":0.133,"hv03":0.136,"hv04":0.117,"hv05":0.067,"hv06":-0.023,"hv07":-0.042,"hv08":-0.077,"hv09":-0.051,"hv10":-0.036,"hv11":-0.049,"hv12":0.013,"hv13":0.05,"hv14":0.035,"hv15":0.043,"hv16":0.053,"hv17":0.076},"geometry":{"type":"Polygon","coordinates":[[[-71.08183,45.303304],[-71.032537,44.657025],[-70.966814,43.34256],[-70.807983,43.227544],[-70.824413,43.128959],[-70.703921,43.057759],[-70.818936,42.871543],[-70.917521,42.887974],[-71.185891,42.789389],[-71.29543,42.696281],[-72.456542,42.729142],[-72.544173,42.80582],[-72.533219,42.953697],[-72.445588,43.008466],[-72.456542,43.150867],[-72.379864,43.572591],[-72.204602,43.769761],[-72.116971,43.994316],[-72.02934,44.07647],[-72.034817,44.322932],[-71.700724,44.41604],[-71.536416,44.585825],[-71.629524,44.750133],[-71.4926,44.914442],[-71.503554,45.013027],[-71.361154,45.270443],[-71.131122,45.243058],[-71.08183,45.303304]]]}},</t>
  </si>
  <si>
    <t xml:space="preserve">    {"type":"Feature","id":"34","properties":{"name":"New Jersey","hv01":0.128,"hv02":0.178,"hv03":0.148,"hv04":0.153,"hv05":0.144,"hv06":0.034,"hv07":-0.044,"hv08":-0.089,"hv09":-0.076,"hv10":-0.055,"hv11":-0.071,"hv12":-0.028,"hv13":0.036,"hv14":0.026,"hv15":0.009,"hv16":0.02,"hv17":0.094},"geometry":{"type":"Polygon","coordinates":[[[-74.236547,41.14083],[-73.902454,40.998429],[-74.022947,40.708151],[-74.187255,40.642428],[-74.274886,40.489074],[-74.001039,40.412397],[-73.979131,40.297381],[-74.099624,39.760641],[-74.411809,39.360824],[-74.614456,39.245808],[-74.795195,38.993869],[-74.888303,39.158177],[-75.178581,39.240331],[-75.534582,39.459409],[-75.55649,39.607286],[-75.561967,39.629194],[-75.507197,39.683964],[-75.414089,39.804456],[-75.145719,39.88661],[-75.129289,39.963288],[-74.82258,40.127596],[-74.773287,40.215227],[-75.058088,40.417874],[-75.069042,40.543843],[-75.195012,40.576705],[-75.205966,40.691721],[-75.052611,40.866983],[-75.134765,40.971045],[-74.882826,41.179168],[-74.828057,41.288707],[-74.69661,41.359907],[-74.236547,41.14083]]]}},</t>
  </si>
  <si>
    <t xml:space="preserve">    {"type":"Feature","id":"35","properties":{"name":"New Mexico","hv01":0.068,"hv02":0.012,"hv03":0.086,"hv04":0.016,"hv05":0.038,"hv06":0.137,"hv07":0.03,"hv08":-0.02,"hv09":-0.03,"hv10":-0.043,"hv11":-0.064,"hv12":-0.019,"hv13":0.004,"hv14":0.018,"hv15":0.044,"hv16":0.04,"hv17":0.049},"geometry":{"type":"Polygon","coordinates":[[[-107.421329,37.000263],[-106.868158,36.994786],[-104.337812,36.994786],[-103.001438,37.000263],[-103.001438,36.501861],[-103.039777,36.501861],[-103.045254,34.01533],[-103.067161,33.002096],[-103.067161,31.999816],[-106.616219,31.999816],[-106.643603,31.901231],[-106.528588,31.786216],[-108.210008,31.786216],[-108.210008,31.331629],[-109.04798,31.331629],[-109.042503,37.000263],[-107.421329,37.000263]]]}},</t>
  </si>
  <si>
    <t xml:space="preserve">    {"type":"Feature","id":"36","properties":{"name":"New York","hv01":0.104,"hv02":0.128,"hv03":0.168,"hv04":0.154,"hv05":0.131,"hv06":0.04,"hv07":-0.013,"hv08":-0.088,"hv09":-0.058,"hv10":-0.045,"hv11":-0.046,"hv12":-0.012,"hv13":0.032,"hv14":0.023,"hv15":0.028,"hv16":0.042,"hv17":0.06},"geometry":{"type":"Polygon","coordinates":[[[-73.343806,45.013027],[-73.332852,44.804903],[-73.387622,44.618687],[-73.294514,44.437948],[-73.321898,44.246255],[-73.436914,44.043608],[-73.349283,43.769761],[-73.404052,43.687607],[-73.245221,43.523299],[-73.278083,42.833204],[-73.267129,42.745573],[-73.508114,42.08834],[-73.486206,42.050002],[-73.55193,41.294184],[-73.48073,41.21203],[-73.727192,41.102491],[-73.655992,40.987475],[-73.22879,40.905321],[-73.141159,40.965568],[-72.774204,40.965568],[-72.587988,40.998429],[-72.28128,41.157261],[-72.259372,41.042245],[-72.100541,40.992952],[-72.467496,40.845075],[-73.239744,40.625997],[-73.562884,40.582182],[-73.776484,40.593136],[-73.935316,40.543843],[-74.022947,40.708151],[-73.902454,40.998429],[-74.236547,41.14083],[-74.69661,41.359907],[-74.740426,41.431108],[-74.89378,41.436584],[-75.074519,41.60637],[-75.052611,41.754247],[-75.173104,41.869263],[-75.249781,41.863786],[-75.35932,42.000709],[-79.76278,42.000709],[-79.76278,42.252649],[-79.76278,42.269079],[-79.149363,42.55388],[-79.050778,42.690804],[-78.853608,42.783912],[-78.930285,42.953697],[-79.012439,42.986559],[-79.072686,43.260406],[-78.486653,43.375421],[-77.966344,43.369944],[-77.75822,43.34256],[-77.533665,43.233021],[-77.391265,43.276836],[-76.958587,43.271359],[-76.695693,43.34256],[-76.41637,43.523299],[-76.235631,43.528776],[-76.230154,43.802623],[-76.137046,43.961454],[-76.3616,44.070993],[-76.312308,44.196962],[-75.912491,44.366748],[-75.764614,44.514625],[-75.282643,44.848718],[-74.828057,45.018503],[-74.148916,44.991119],[-73.343806,45.013027]]]}},</t>
  </si>
  <si>
    <t xml:space="preserve">    {"type":"Feature","id":"37","properties":{"name":"North Carolina","hv01":0.019,"hv02":0.036,"hv03":0.046,"hv04":0.063,"hv05":0.051,"hv06":0.068,"hv07":0.023,"hv08":-0.029,"hv09":-0.033,"hv10":-0.031,"hv11":-0.037,"hv12":0.001,"hv13":0.03,"hv14":0.022,"hv15":0.037,"hv16":0.068,"hv17":0.062},"geometry":{"type":"Polygon","coordinates":[[[-80.978661,36.562108],[-80.294043,36.545677],[-79.510841,36.5402],[-75.868676,36.551154],[-75.75366,36.151337],[-76.032984,36.189676],[-76.071322,36.140383],[-76.410893,36.080137],[-76.460185,36.025367],[-76.68474,36.008937],[-76.673786,35.937736],[-76.399939,35.987029],[-76.3616,35.943213],[-76.060368,35.992506],[-75.961783,35.899398],[-75.781044,35.937736],[-75.715321,35.696751],[-75.775568,35.581735],[-75.89606,35.570781],[-76.147999,35.324319],[-76.482093,35.313365],[-76.536862,35.14358],[-76.394462,34.973795],[-76.279446,34.940933],[-76.493047,34.661609],[-76.673786,34.694471],[-76.991448,34.667086],[-77.210526,34.60684],[-77.555573,34.415147],[-77.82942,34.163208],[-77.971821,33.845545],[-78.179944,33.916745],[-78.541422,33.851022],[-79.675149,34.80401],[-80.797922,34.820441],[-80.781491,34.935456],[-80.934845,35.105241],[-81.038907,35.044995],[-81.044384,35.149057],[-82.276696,35.198349],[-82.550543,35.160011],[-82.764143,35.066903],[-83.109191,35.00118],[-83.618546,34.984749],[-84.319594,34.990226],[-84.29221,35.225734],[-84.09504,35.247642],[-84.018363,35.41195],[-83.7719,35.559827],[-83.498053,35.565304],[-83.251591,35.718659],[-82.994175,35.773428],[-82.775097,35.997983],[-82.638174,36.063706],[-82.610789,35.965121],[-82.216449,36.156814],[-82.03571,36.118475],[-81.909741,36.304691],[-81.723525,36.353984],[-81.679709,36.589492],[-80.978661,36.562108]]]}},</t>
  </si>
  <si>
    <t xml:space="preserve">    {"type":"Feature","id":"38","properties":{"name":"North Dakota","hv01":0,"hv02":0,"hv03":0,"hv04":0,"hv05":0,"hv06":0.045,"hv07":0.049,"hv08":0.004,"hv09":0.013,"hv10":0.041,"hv11":0.015,"hv12":0.07,"hv13":0.095,"hv14":0.073,"hv15":0.063,"hv16":0.046,"hv17":0.017},"geometry":{"type":"Polygon","coordinates":[[[-97.228743,49.000239],[-97.097296,48.682577],[-97.16302,48.545653],[-97.130158,48.140359],[-97.053481,47.948667],[-96.856311,47.609096],[-96.823449,46.968294],[-96.785111,46.924479],[-96.801542,46.656109],[-96.719387,46.437031],[-96.598895,46.332969],[-96.560556,45.933153],[-104.047534,45.944106],[-104.042057,47.861036],[-104.047534,49.000239],[-97.228743,49.000239]]]}},</t>
  </si>
  <si>
    <t xml:space="preserve">    {"type":"Feature","id":"39","properties":{"name":"Ohio","hv01":0.05,"hv02":0.041,"hv03":0.041,"hv04":0.032,"hv05":0.022,"hv06":0,"hv07":-0.033,"hv08":-0.055,"hv09":-0.034,"hv10":-0.025,"hv11":-0.045,"hv12":0.004,"hv13":0.03,"hv14":0.042,"hv15":0.04,"hv16":0.054,"hv17":0.069},"geometry":{"type":"Polygon","coordinates":[[[-80.518598,41.978802],[-80.518598,40.636951],[-80.666475,40.582182],[-80.595275,40.472643],[-80.600752,40.319289],[-80.737675,40.078303],[-80.830783,39.711348],[-81.219646,39.388209],[-81.345616,39.344393],[-81.455155,39.410117],[-81.57017,39.267716],[-81.685186,39.273193],[-81.811156,39.0815],[-81.783771,38.966484],[-81.887833,38.873376],[-82.03571,39.026731],[-82.221926,38.785745],[-82.172634,38.632391],[-82.293127,38.577622],[-82.331465,38.446175],[-82.594358,38.424267],[-82.731282,38.561191],[-82.846298,38.588575],[-82.890113,38.758361],[-83.032514,38.725499],[-83.142052,38.626914],[-83.519961,38.703591],[-83.678792,38.632391],[-83.903347,38.769315],[-84.215533,38.807653],[-84.231963,38.895284],[-84.43461,39.103408],[-84.817996,39.103408],[-84.801565,40.500028],[-84.807042,41.694001],[-83.454238,41.732339],[-83.065375,41.595416],[-82.933929,41.513262],[-82.835344,41.589939],[-82.616266,41.431108],[-82.479343,41.381815],[-82.013803,41.513262],[-81.739956,41.485877],[-81.444201,41.672093],[-81.011523,41.852832],[-80.518598,41.978802],[-80.518598,41.978802]]]}},</t>
  </si>
  <si>
    <t xml:space="preserve">    {"type":"Feature","id":"40","properties":{"name":"Oklahoma","hv01":0.029,"hv02":0.059,"hv03":0.041,"hv04":0.048,"hv05":0.041,"hv06":0.049,"hv07":0.034,"hv08":0.013,"hv09":0.02,"hv10":-0.01,"hv11":-0.024,"hv12":0.001,"hv13":0.012,"hv14":0.018,"hv15":0.045,"hv16":0.097,"hv17":0.058},"geometry":{"type":"Polygon","coordinates":[[[-100.087706,37.000263],[-94.616242,37.000263],[-94.616242,36.501861],[-94.430026,35.395519],[-94.484796,33.637421],[-94.868182,33.74696],[-94.966767,33.861976],[-95.224183,33.960561],[-95.289906,33.87293],[-95.547322,33.878407],[-95.602092,33.933176],[-95.8376,33.834591],[-95.936185,33.889361],[-96.149786,33.840068],[-96.346956,33.686714],[-96.423633,33.774345],[-96.631756,33.845545],[-96.850834,33.845545],[-96.922034,33.960561],[-97.173974,33.736006],[-97.256128,33.861976],[-97.371143,33.823637],[-97.458774,33.905791],[-97.694283,33.982469],[-97.869545,33.851022],[-97.946222,33.987946],[-98.088623,34.004376],[-98.170777,34.113915],[-98.36247,34.157731],[-98.488439,34.064623],[-98.570593,34.146777],[-98.767763,34.135823],[-98.986841,34.223454],[-99.189488,34.2125],[-99.260688,34.404193],[-99.57835,34.415147],[-99.698843,34.382285],[-99.923398,34.573978],[-100.000075,34.563024],[-100.000075,36.501861],[-101.812942,36.501861],[-103.001438,36.501861],[-103.001438,37.000263],[-102.042974,36.994786],[-100.087706,37.000263]]]}},</t>
  </si>
  <si>
    <t xml:space="preserve">    {"type":"Feature","id":"41","properties":{"name":"Oregon","hv01":0.045,"hv02":0.05,"hv03":0.065,"hv04":0.125,"hv05":0.245,"hv06":0.101,"hv07":-0.015,"hv08":-0.082,"hv09":-0.07,"hv10":-0.08,"hv11":-0.064,"hv12":0.041,"hv13":0.11,"hv14":0.075,"hv15":0.113,"hv16":0.13,"hv17":0.078},"geometry":{"type":"Polygon","coordinates":[[[-123.211348,46.174138],[-123.11824,46.185092],[-122.904639,46.08103],[-122.811531,45.960537],[-122.762239,45.659305],[-122.247407,45.549767],[-121.809251,45.708598],[-121.535404,45.725029],[-121.217742,45.670259],[-121.18488,45.604536],[-120.637186,45.746937],[-120.505739,45.697644],[-120.209985,45.725029],[-119.963522,45.823614],[-119.525367,45.911245],[-119.125551,45.933153],[-118.988627,45.998876],[-116.918344,45.993399],[-116.78142,45.823614],[-116.545912,45.752413],[-116.463758,45.61549],[-116.671881,45.319735],[-116.732128,45.144473],[-116.847143,45.02398],[-116.830713,44.930872],[-116.934774,44.782995],[-117.038836,44.750133],[-117.241483,44.394132],[-117.170283,44.257209],[-116.97859,44.240778],[-116.896436,44.158624],[-117.027882,43.830007],[-117.027882,42.000709],[-118.698349,41.989755],[-120.001861,41.995232],[-121.037003,41.995232],[-122.378853,42.011663],[-123.233256,42.006186],[-124.213628,42.000709],[-124.356029,42.115725],[-124.432706,42.438865],[-124.416275,42.663419],[-124.553198,42.838681],[-124.454613,43.002989],[-124.383413,43.271359],[-124.235536,43.55616],[-124.169813,43.8081],[-124.060274,44.657025],[-124.076705,44.772041],[-123.97812,45.144473],[-123.939781,45.659305],[-123.994551,45.944106],[-123.945258,46.113892],[-123.545441,46.261769],[-123.370179,46.146753],[-123.211348,46.174138]]]}},</t>
  </si>
  <si>
    <t xml:space="preserve">    {"type":"Feature","id":"42","properties":{"name":"Pennsylvania","hv01":0.089,"hv02":0.078,"hv03":0.108,"hv04":0.107,"hv05":0.094,"hv06":0.057,"hv07":0.012,"hv08":-0.028,"hv09":-0.017,"hv10":-0.025,"hv11":-0.042,"hv12":-0.003,"hv13":0.016,"hv14":0.019,"hv15":0.026,"hv16":0.042,"hv17":0.057},"geometry":{"type":"Polygon","coordinates":[[[-79.76278,42.252649],[-79.76278,42.000709],[-75.35932,42.000709],[-75.249781,41.863786],[-75.173104,41.869263],[-75.052611,41.754247],[-75.074519,41.60637],[-74.89378,41.436584],[-74.740426,41.431108],[-74.69661,41.359907],[-74.828057,41.288707],[-74.882826,41.179168],[-75.134765,40.971045],[-75.052611,40.866983],[-75.205966,40.691721],[-75.195012,40.576705],[-75.069042,40.543843],[-75.058088,40.417874],[-74.773287,40.215227],[-74.82258,40.127596],[-75.129289,39.963288],[-75.145719,39.88661],[-75.414089,39.804456],[-75.616736,39.831841],[-75.786521,39.722302],[-79.477979,39.722302],[-80.518598,39.722302],[-80.518598,40.636951],[-80.518598,41.978802],[-80.518598,41.978802],[-80.332382,42.033571],[-79.76278,42.269079],[-79.76278,42.252649]]]}},</t>
  </si>
  <si>
    <t xml:space="preserve">    {"type":"Feature","id":"44","properties":{"name":"Rhode Island","hv01":0.165,"hv02":0.207,"hv03":0.206,"hv04":0.148,"hv05":0.052,"hv06":-0.027,"hv07":-0.059,"hv08":-0.114,"hv09":-0.063,"hv10":-0.016,"hv11":-0.084,"hv12":0.019,"hv13":0.027,"hv14":0.036,"hv15":0.035,"hv16":0.07,"hv17":0.09},"geometry":{"type":"MultiPolygon","coordinates":[[[[-71.196845,41.67757],[-71.120168,41.496831],[-71.317338,41.474923],[-71.196845,41.67757]]],[[[-71.530939,42.01714],[-71.383061,42.01714],[-71.328292,41.781632],[-71.22423,41.710431],[-71.344723,41.726862],[-71.448785,41.578985],[-71.481646,41.370861],[-71.859555,41.321569],[-71.799309,41.414677],[-71.799309,42.006186],[-71.530939,42.01714]]]]}},</t>
  </si>
  <si>
    <t xml:space="preserve">    {"type":"Feature","id":"45","properties":{"name":"South Carolina","hv01":0.027,"hv02":0.035,"hv03":0.05,"hv04":0.072,"hv05":0.087,"hv06":0.076,"hv07":-0.004,"hv08":-0.043,"hv09":-0.039,"hv10":-0.039,"hv11":-0.043,"hv12":0.003,"hv13":0.03,"hv14":0.014,"hv15":0.044,"hv16":0.091,"hv17":0.06},"geometry":{"type":"Polygon","coordinates":[[[-82.764143,35.066903],[-82.550543,35.160011],[-82.276696,35.198349],[-81.044384,35.149057],[-81.038907,35.044995],[-80.934845,35.105241],[-80.781491,34.935456],[-80.797922,34.820441],[-79.675149,34.80401],[-78.541422,33.851022],[-78.716684,33.80173],[-78.935762,33.637421],[-79.149363,33.380005],[-79.187701,33.171881],[-79.357487,33.007573],[-79.582041,33.007573],[-79.631334,32.887081],[-79.866842,32.755634],[-79.998289,32.613234],[-80.206412,32.552987],[-80.430967,32.399633],[-80.452875,32.328433],[-80.660998,32.246279],[-80.885553,32.032678],[-81.115584,32.120309],[-81.121061,32.290094],[-81.279893,32.558464],[-81.416816,32.629664],[-81.42777,32.843265],[-81.493493,33.007573],[-81.761863,33.160928],[-81.937125,33.347144],[-81.926172,33.462159],[-82.194542,33.631944],[-82.325988,33.81816],[-82.55602,33.94413],[-82.714851,34.152254],[-82.747713,34.26727],[-82.901067,34.486347],[-83.005129,34.469916],[-83.339222,34.683517],[-83.322791,34.787579],[-83.109191,35.00118],[-82.764143,35.066903]]]}},</t>
  </si>
  <si>
    <t xml:space="preserve">    {"type":"Feature","id":"46","properties":{"name":"South Dakota","hv01":0.138,"hv02":0.06,"hv03":0.014,"hv04":0.16,"hv05":0.086,"hv06":0.057,"hv07":0.004,"hv08":0.01,"hv09":-0.003,"hv10":0.001,"hv11":-0.017,"hv12":0.03,"hv13":0.032,"hv14":0.035,"hv15":0.061,"hv16":0.047,"hv17":0.047},"geometry":{"type":"Polygon","coordinates":[[[-104.047534,45.944106],[-96.560556,45.933153],[-96.582464,45.818137],[-96.856311,45.604536],[-96.681049,45.412843],[-96.451017,45.297827],[-96.451017,43.501391],[-96.582464,43.479483],[-96.527695,43.397329],[-96.560556,43.222067],[-96.434587,43.123482],[-96.511264,43.052282],[-96.544125,42.855112],[-96.631756,42.707235],[-96.44554,42.488157],[-96.626279,42.515542],[-96.692003,42.657942],[-97.217789,42.844158],[-97.688806,42.844158],[-97.831206,42.866066],[-97.951699,42.767481],[-98.466531,42.94822],[-98.499393,42.997512],[-101.626726,42.997512],[-103.324578,43.002989],[-104.053011,43.002989],[-104.058488,44.996596],[-104.042057,44.996596],[-104.047534,45.944106]]]}},</t>
  </si>
  <si>
    <t xml:space="preserve">    {"type":"Feature","id":"47","properties":{"name":"Tennessee","hv01":0.035,"hv02":0.032,"hv03":0.042,"hv04":0.073,"hv05":0.101,"hv06":0.067,"hv07":0.017,"hv08":-0.03,"hv09":-0.026,"hv10":-0.024,"hv11":-0.031,"hv12":0.004,"hv13":0.04,"hv14":0.045,"hv15":0.061,"hv16":0.084,"hv17":0.08},"geometry":{"type":"Polygon","coordinates":[[[-88.054868,36.496384],[-88.071299,36.677123],[-87.852221,36.633308],[-86.592525,36.655216],[-85.486183,36.616877],[-85.289013,36.627831],[-84.544149,36.594969],[-83.689746,36.584015],[-83.673316,36.600446],[-81.679709,36.589492],[-81.723525,36.353984],[-81.909741,36.304691],[-82.03571,36.118475],[-82.216449,36.156814],[-82.610789,35.965121],[-82.638174,36.063706],[-82.775097,35.997983],[-82.994175,35.773428],[-83.251591,35.718659],[-83.498053,35.565304],[-83.7719,35.559827],[-84.018363,35.41195],[-84.09504,35.247642],[-84.29221,35.225734],[-84.319594,34.990226],[-85.606675,34.984749],[-87.359296,35.00118],[-88.202745,34.995703],[-88.471115,34.995703],[-90.311367,34.995703],[-90.212782,35.023087],[-90.114197,35.198349],[-90.130628,35.439335],[-89.944412,35.603643],[-89.911551,35.756997],[-89.763673,35.811767],[-89.730812,35.997983],[-89.533642,36.249922],[-89.539119,36.496384],[-89.484349,36.496384],[-89.418626,36.496384],[-89.298133,36.507338],[-88.054868,36.496384]]]}},</t>
  </si>
  <si>
    <t xml:space="preserve">    {"type":"Feature","id":"48","properties":{"name":"Texas","hv01":0.017,"hv02":0.04,"hv03":0.023,"hv04":0.074,"hv05":0.026,"hv06":0.039,"hv07":0.03,"hv08":-0.045,"hv09":-0.014,"hv10":-0.015,"hv11":-0.023,"hv12":0.014,"hv13":0.045,"hv14":0.057,"hv15":0.071,"hv16":0.109,"hv17":0.072},"geometry":{"type":"Polygon","coordinates":[[[-101.812942,36.501861],[-100.000075,36.501861],[-100.000075,34.563024],[-99.923398,34.573978],[-99.698843,34.382285],[-99.57835,34.415147],[-99.260688,34.404193],[-99.189488,34.2125],[-98.986841,34.223454],[-98.767763,34.135823],[-98.570593,34.146777],[-98.488439,34.064623],[-98.36247,34.157731],[-98.170777,34.113915],[-98.088623,34.004376],[-97.946222,33.987946],[-97.869545,33.851022],[-97.694283,33.982469],[-97.458774,33.905791],[-97.371143,33.823637],[-97.256128,33.861976],[-97.173974,33.736006],[-96.922034,33.960561],[-96.850834,33.845545],[-96.631756,33.845545],[-96.423633,33.774345],[-96.346956,33.686714],[-96.149786,33.840068],[-95.936185,33.889361],[-95.8376,33.834591],[-95.602092,33.933176],[-95.547322,33.878407],[-95.289906,33.87293],[-95.224183,33.960561],[-94.966767,33.861976],[-94.868182,33.74696],[-94.484796,33.637421],[-94.380734,33.544313],[-94.183564,33.593606],[-94.041164,33.54979],[-94.041164,33.018527],[-94.041164,31.994339],[-93.822086,31.775262],[-93.816609,31.556184],[-93.542762,31.15089],[-93.526331,30.93729],[-93.630393,30.679874],[-93.728978,30.575812],[-93.696116,30.438888],[-93.767317,30.334826],[-93.690639,30.143133],[-93.926148,29.787132],[-93.838517,29.688547],[-94.002825,29.68307],[-94.523134,29.546147],[-94.70935,29.622824],[-94.742212,29.787132],[-94.873659,29.672117],[-94.966767,29.699501],[-95.016059,29.557101],[-94.911997,29.496854],[-94.895566,29.310638],[-95.081782,29.113469],[-95.383014,28.867006],[-95.985477,28.604113],[-96.045724,28.647929],[-96.226463,28.582205],[-96.23194,28.642452],[-96.478402,28.598636],[-96.593418,28.724606],[-96.664618,28.697221],[-96.401725,28.439805],[-96.593418,28.357651],[-96.774157,28.406943],[-96.801542,28.226204],[-97.026096,28.039988],[-97.256128,27.694941],[-97.404005,27.333463],[-97.513544,27.360848],[-97.540929,27.229401],[-97.425913,27.262263],[-97.480682,26.99937],[-97.557359,26.988416],[-97.562836,26.840538],[-97.469728,26.758384],[-97.442344,26.457153],[-97.332805,26.353091],[-97.30542,26.161398],[-97.217789,25.991613],[-97.524498,25.887551],[-97.650467,26.018997],[-97.885976,26.06829],[-98.198161,26.057336],[-98.466531,26.221644],[-98.669178,26.238075],[-98.822533,26.369522],[-99.030656,26.413337],[-99.173057,26.539307],[-99.266165,26.840538],[-99.446904,27.021277],[-99.424996,27.174632],[-99.50715,27.33894],[-99.479765,27.48134],[-99.605735,27.640172],[-99.709797,27.656603],[-99.879582,27.799003],[-99.934351,27.979742],[-100.082229,28.14405],[-100.29583,28.280974],[-100.399891,28.582205],[-100.498476,28.66436],[-100.629923,28.905345],[-100.673738,29.102515],[-100.799708,29.244915],[-101.013309,29.370885],[-101.062601,29.458516],[-101.259771,29.535193],[-101.413125,29.754271],[-101.851281,29.803563],[-102.114174,29.792609],[-102.338728,29.869286],[-102.388021,29.765225],[-102.629006,29.732363],[-102.809745,29.524239],[-102.919284,29.190146],[-102.97953,29.184669],[-103.116454,28.987499],[-103.280762,28.982022],[-103.527224,29.135376],[-104.146119,29.381839],[-104.266611,29.513285],[-104.507597,29.639255],[-104.677382,29.924056],[-104.688336,30.181472],[-104.858121,30.389596],[-104.896459,30.570335],[-105.005998,30.685351],[-105.394861,30.855136],[-105.602985,31.085167],[-105.77277,31.167321],[-105.953509,31.364491],[-106.205448,31.468553],[-106.38071,31.731446],[-106.528588,31.786216],[-106.643603,31.901231],[-106.616219,31.999816],[-103.067161,31.999816],[-103.067161,33.002096],[-103.045254,34.01533],[-103.039777,36.501861],[-103.001438,36.501861],[-101.812942,36.501861]]]}},</t>
  </si>
  <si>
    <t xml:space="preserve">    {"type":"Feature","id":"49","properties":{"name":"Utah","hv01":0.012,"hv02":0.001,"hv03":0.026,"hv04":-0.004,"hv05":0.071,"hv06":0.173,"hv07":0.146,"hv08":-0.023,"hv09":-0.082,"hv10":-0.068,"hv11":-0.05,"hv12":0.024,"hv13":0.097,"hv14":0.056,"hv15":0.064,"hv16":0.084,"hv17":0.099},"geometry":{"type":"Polygon","coordinates":[[[-112.164359,41.995232],[-111.047063,42.000709],[-111.047063,40.998429],[-109.04798,40.998429],[-109.053457,39.125316],[-109.058934,38.27639],[-109.042503,38.166851],[-109.042503,37.000263],[-110.499369,37.00574],[-114.048427,37.000263],[-114.04295,41.995232],[-112.164359,41.995232]]]}},</t>
  </si>
  <si>
    <t xml:space="preserve">    {"type":"Feature","id":"50","properties":{"name":"Vermont","hv01":0.076,"hv02":0.096,"hv03":0.105,"hv04":0.126,"hv05":0.119,"hv06":0.041,"hv07":0.002,"hv08":-0.036,"hv09":-0.037,"hv10":0.006,"hv11":-0.001,"hv12":-0.001,"hv13":0.011,"hv14":0.012,"hv15":0,"hv16":0.022,"hv17":0.036},"geometry":{"type":"Polygon","coordinates":[[[-71.503554,45.013027],[-71.4926,44.914442],[-71.629524,44.750133],[-71.536416,44.585825],[-71.700724,44.41604],[-72.034817,44.322932],[-72.02934,44.07647],[-72.116971,43.994316],[-72.204602,43.769761],[-72.379864,43.572591],[-72.456542,43.150867],[-72.445588,43.008466],[-72.533219,42.953697],[-72.544173,42.80582],[-72.456542,42.729142],[-73.267129,42.745573],[-73.278083,42.833204],[-73.245221,43.523299],[-73.404052,43.687607],[-73.349283,43.769761],[-73.436914,44.043608],[-73.321898,44.246255],[-73.294514,44.437948],[-73.387622,44.618687],[-73.332852,44.804903],[-73.343806,45.013027],[-72.308664,45.002073],[-71.503554,45.013027]]]}},</t>
  </si>
  <si>
    <t xml:space="preserve">    {"type":"Feature","id":"51","properties":{"name":"Virginia","hv01":0.083,"hv02":0.101,"hv03":0.127,"hv04":0.24,"hv05":0.164,"hv06":0.017,"hv07":-0.029,"hv08":-0.091,"hv09":-0.061,"hv10":-0.032,"hv11":-0.036,"hv12":0.027,"hv13":0.037,"hv14":0.024,"hv15":0.022,"hv16":0.039,"hv17":0.041},"geometry":{"type":"MultiPolygon","coordinates":[[[[-75.397659,38.013497],[-75.244304,38.029928],[-75.375751,37.860142],[-75.512674,37.799896],[-75.594828,37.569865],[-75.802952,37.197433],[-75.972737,37.120755],[-76.027507,37.257679],[-75.939876,37.564388],[-75.671506,37.95325],[-75.397659,38.013497]]],[[[-76.016553,37.95325],[-75.994645,37.95325],[-76.043938,37.95325],[-76.016553,37.95325]]],[[[-78.349729,39.464886],[-77.82942,39.130793],[-77.719881,39.322485],[-77.566527,39.306055],[-77.456988,39.223901],[-77.456988,39.076023],[-77.248864,39.026731],[-77.117418,38.933623],[-77.040741,38.791222],[-77.128372,38.632391],[-77.248864,38.588575],[-77.325542,38.446175],[-77.281726,38.342113],[-77.013356,38.374975],[-76.964064,38.216144],[-76.613539,38.15042],[-76.514954,38.024451],[-76.235631,37.887527],[-76.3616,37.608203],[-76.246584,37.389126],[-76.383508,37.285064],[-76.399939,37.159094],[-76.273969,37.082417],[-76.410893,36.961924],[-76.619016,37.120755],[-76.668309,37.065986],[-76.48757,36.95097],[-75.994645,36.923586],[-75.868676,36.551154],[-79.510841,36.5402],[-80.294043,36.545677],[-80.978661,36.562108],[-81.679709,36.589492],[-83.673316,36.600446],[-83.136575,36.742847],[-83.070852,36.852385],[-82.879159,36.890724],[-82.868205,36.978355],[-82.720328,37.044078],[-82.720328,37.120755],[-82.353373,37.268633],[-81.969987,37.537003],[-81.986418,37.454849],[-81.849494,37.285064],[-81.679709,37.20291],[-81.55374,37.208387],[-81.362047,37.339833],[-81.225123,37.235771],[-80.967707,37.290541],[-80.513121,37.482234],[-80.474782,37.421987],[-80.29952,37.509618],[-80.294043,37.690357],[-80.184505,37.849189],[-79.998289,37.997066],[-79.921611,38.177805],[-79.724442,38.364021],[-79.647764,38.594052],[-79.477979,38.457129],[-79.313671,38.413313],[-79.209609,38.495467],[-78.996008,38.851469],[-78.870039,38.763838],[-78.404499,39.169131],[-78.349729,39.464886]]]]}},</t>
  </si>
  <si>
    <t xml:space="preserve">    {"type":"Feature","id":"53","properties":{"name":"Washington","hv01":0.048,"hv02":0.031,"hv03":0.081,"hv04":0.143,"hv05":0.189,"hv06":0.117,"hv07":0,"hv08":-0.087,"hv09":-0.086,"hv10":-0.068,"hv11":-0.08,"hv12":0.029,"hv13":0.092,"hv14":0.065,"hv15":0.097,"hv16":0.124,"hv17":0.107},"geometry":{"type":"MultiPolygon","coordinates":[[[[-117.033359,49.000239],[-117.044313,47.762451],[-117.038836,46.426077],[-117.055267,46.343923],[-116.92382,46.168661],[-116.918344,45.993399],[-118.988627,45.998876],[-119.125551,45.933153],[-119.525367,45.911245],[-119.963522,45.823614],[-120.209985,45.725029],[-120.505739,45.697644],[-120.637186,45.746937],[-121.18488,45.604536],[-121.217742,45.670259],[-121.535404,45.725029],[-121.809251,45.708598],[-122.247407,45.549767],[-122.762239,45.659305],[-122.811531,45.960537],[-122.904639,46.08103],[-123.11824,46.185092],[-123.211348,46.174138],[-123.370179,46.146753],[-123.545441,46.261769],[-123.72618,46.300108],[-123.874058,46.239861],[-124.065751,46.327492],[-124.027412,46.464416],[-123.895966,46.535616],[-124.098612,46.74374],[-124.235536,47.285957],[-124.31769,47.357157],[-124.427229,47.740543],[-124.624399,47.88842],[-124.706553,48.184175],[-124.597014,48.381345],[-124.394367,48.288237],[-123.983597,48.162267],[-123.704273,48.167744],[-123.424949,48.118452],[-123.162056,48.167744],[-123.036086,48.080113],[-122.800578,48.08559],[-122.636269,47.866512],[-122.515777,47.882943],[-122.493869,47.587189],[-122.422669,47.318818],[-122.324084,47.346203],[-122.422669,47.576235],[-122.395284,47.800789],[-122.230976,48.030821],[-122.362422,48.123929],[-122.373376,48.288237],[-122.471961,48.468976],[-122.422669,48.600422],[-122.488392,48.753777],[-122.647223,48.775685],[-122.795101,48.8907],[-122.756762,49.000239],[-117.033359,49.000239]]],[[[-122.718423,48.310145],[-122.586977,48.35396],[-122.608885,48.151313],[-122.767716,48.227991],[-122.718423,48.310145]]],[[[-123.025132,48.583992],[-122.915593,48.715438],[-122.767716,48.556607],[-122.811531,48.419683],[-123.041563,48.458022],[-123.025132,48.583992]]]]}},</t>
  </si>
  <si>
    <t xml:space="preserve">    {"type":"Feature","id":"54","properties":{"name":"West Virginia","hv01":0.025,"hv02":0.073,"hv03":0.046,"hv04":0.125,"hv05":0.049,"hv06":0.038,"hv07":-0.007,"hv08":-0.023,"hv09":-0.017,"hv10":0.001,"hv11":-0.014,"hv12":0.014,"hv13":0.03,"hv14":0.018,"hv15":0.053,"hv16":0.017,"hv17":0.021},"geometry":{"type":"Polygon","coordinates":[[[-80.518598,40.636951],[-80.518598,39.722302],[-79.477979,39.722302],[-79.488933,39.20747],[-79.291763,39.300578],[-79.094593,39.470363],[-78.963147,39.437501],[-78.765977,39.585379],[-78.470222,39.514178],[-78.431884,39.623717],[-78.267575,39.61824],[-78.174467,39.694917],[-78.004682,39.601809],[-77.834897,39.601809],[-77.719881,39.322485],[-77.82942,39.130793],[-78.349729,39.464886],[-78.404499,39.169131],[-78.870039,38.763838],[-78.996008,38.851469],[-79.209609,38.495467],[-79.313671,38.413313],[-79.477979,38.457129],[-79.647764,38.594052],[-79.724442,38.364021],[-79.921611,38.177805],[-79.998289,37.997066],[-80.184505,37.849189],[-80.294043,37.690357],[-80.29952,37.509618],[-80.474782,37.421987],[-80.513121,37.482234],[-80.967707,37.290541],[-81.225123,37.235771],[-81.362047,37.339833],[-81.55374,37.208387],[-81.679709,37.20291],[-81.849494,37.285064],[-81.986418,37.454849],[-81.969987,37.537003],[-82.101434,37.553434],[-82.293127,37.668449],[-82.342419,37.783465],[-82.50125,37.931343],[-82.621743,38.123036],[-82.594358,38.424267],[-82.331465,38.446175],[-82.293127,38.577622],[-82.172634,38.632391],[-82.221926,38.785745],[-82.03571,39.026731],[-81.887833,38.873376],[-81.783771,38.966484],[-81.811156,39.0815],[-81.685186,39.273193],[-81.57017,39.267716],[-81.455155,39.410117],[-81.345616,39.344393],[-81.219646,39.388209],[-80.830783,39.711348],[-80.737675,40.078303],[-80.600752,40.319289],[-80.595275,40.472643],[-80.666475,40.582182],[-80.518598,40.636951]]]}},</t>
  </si>
  <si>
    <t xml:space="preserve">    {"type":"Feature","id":"55","properties":{"name":"Wisconsin","hv01":0.064,"hv02":0.06,"hv03":0.063,"hv04":0.07,"hv05":-0.019,"hv06":0.019,"hv07":0.001,"hv08":-0.039,"hv09":-0.033,"hv10":-0.037,"hv11":-0.035,"hv12":0.002,"hv13":0.042,"hv14":0.014,"hv15":0.042,"hv16":0.061,"hv17":0.066},"geometry":{"type":"Polygon","coordinates":[[[-90.415429,46.568478],[-90.229213,46.508231],[-90.119674,46.338446],[-89.09001,46.135799],[-88.662808,45.987922],[-88.531362,46.020784],[-88.10416,45.922199],[-87.989145,45.796229],[-87.781021,45.675736],[-87.791975,45.500474],[-87.885083,45.363551],[-87.649574,45.341643],[-87.742682,45.199243],[-87.589328,45.095181],[-87.627666,44.974688],[-87.819359,44.95278],[-87.983668,44.722749],[-88.043914,44.563917],[-87.928898,44.536533],[-87.775544,44.640595],[-87.611236,44.837764],[-87.403112,44.914442],[-87.238804,45.166381],[-87.03068,45.22115],[-87.047111,45.089704],[-87.189511,44.969211],[-87.468835,44.552964],[-87.545512,44.322932],[-87.540035,44.158624],[-87.644097,44.103854],[-87.737205,43.8793],[-87.704344,43.687607],[-87.791975,43.561637],[-87.912467,43.249452],[-87.885083,43.002989],[-87.76459,42.783912],[-87.802929,42.493634],[-88.788778,42.493634],[-90.639984,42.510065],[-90.711184,42.636034],[-91.067185,42.75105],[-91.143862,42.909881],[-91.176724,43.134436],[-91.056231,43.254929],[-91.204109,43.353514],[-91.215062,43.501391],[-91.269832,43.616407],[-91.242447,43.775238],[-91.43414,43.994316],[-91.592971,44.032654],[-91.877772,44.202439],[-91.927065,44.333886],[-92.233773,44.443425],[-92.337835,44.552964],[-92.545959,44.569394],[-92.808852,44.750133],[-92.737652,45.117088],[-92.75956,45.286874],[-92.644544,45.440228],[-92.770513,45.566198],[-92.885529,45.577151],[-92.869098,45.719552],[-92.639067,45.933153],[-92.354266,46.015307],[-92.29402,46.075553],[-92.29402,46.667063],[-92.091373,46.749217],[-92.014696,46.705401],[-91.790141,46.694447],[-91.09457,46.864232],[-90.837154,46.95734],[-90.749522,46.88614],[-90.886446,46.754694],[-90.55783,46.584908],[-90.415429,46.568478]]]}},</t>
  </si>
  <si>
    <t xml:space="preserve">    {"type":"Feature","id":"56","properties":{"name":"Wyoming","hv01":0.072,"hv02":0.007,"hv03":0.074,"hv04":0.079,"hv05":-0.116,"hv06":0.108,"hv07":0.059,"hv08":-0.002,"hv09":-0.011,"hv10":0.004,"hv11":0.001,"hv12":0.025,"hv13":0.02,"hv14":0.026,"hv15":0.048,"hv16":0.024,"hv17":0.017},"geometry":{"type":"Polygon","coordinates":[[[-109.080842,45.002073],[-105.91517,45.002073],[-104.058488,44.996596],[-104.053011,43.002989],[-104.053011,41.003906],[-105.728954,40.998429],[-107.919731,41.003906],[-109.04798,40.998429],[-111.047063,40.998429],[-111.047063,42.000709],[-111.047063,44.476286],[-111.05254,45.002073],[-109.080842,45.002073]]]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</si>
</sst>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  <xf numFmtId="0" fontId="0" fillId="0" borderId="0" xfId="0" applyAlignment="1">
      <alignment horizontal="right"/>
    </xf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T52"/>
  <sheetViews>
    <sheetView workbookViewId="0">
      <selection activeCell="R28" sqref="R28"/>
    </sheetView>
  </sheetViews>
  <sheetFormatPr defaultRowHeight="14.4" x14ac:dyDescent="0.3"/>
  <sheetData>
    <row r="1" spans="1:22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133</v>
      </c>
      <c r="EE1" t="s">
        <v>134</v>
      </c>
      <c r="EF1" t="s">
        <v>135</v>
      </c>
      <c r="EG1" t="s">
        <v>136</v>
      </c>
      <c r="EH1" t="s">
        <v>137</v>
      </c>
      <c r="EI1" t="s">
        <v>138</v>
      </c>
      <c r="EJ1" t="s">
        <v>139</v>
      </c>
      <c r="EK1" t="s">
        <v>140</v>
      </c>
      <c r="EL1" t="s">
        <v>141</v>
      </c>
      <c r="EM1" t="s">
        <v>142</v>
      </c>
      <c r="EN1" t="s">
        <v>143</v>
      </c>
      <c r="EO1" t="s">
        <v>144</v>
      </c>
      <c r="EP1" t="s">
        <v>145</v>
      </c>
      <c r="EQ1" t="s">
        <v>146</v>
      </c>
      <c r="ER1" t="s">
        <v>147</v>
      </c>
      <c r="ES1" t="s">
        <v>148</v>
      </c>
      <c r="ET1" t="s">
        <v>149</v>
      </c>
      <c r="EU1" t="s">
        <v>150</v>
      </c>
      <c r="EV1" t="s">
        <v>151</v>
      </c>
      <c r="EW1" t="s">
        <v>152</v>
      </c>
      <c r="EX1" t="s">
        <v>153</v>
      </c>
      <c r="EY1" t="s">
        <v>154</v>
      </c>
      <c r="EZ1" t="s">
        <v>155</v>
      </c>
      <c r="FA1" t="s">
        <v>156</v>
      </c>
      <c r="FB1" t="s">
        <v>157</v>
      </c>
      <c r="FC1" t="s">
        <v>158</v>
      </c>
      <c r="FD1" t="s">
        <v>159</v>
      </c>
      <c r="FE1" t="s">
        <v>160</v>
      </c>
      <c r="FF1" t="s">
        <v>161</v>
      </c>
      <c r="FG1" t="s">
        <v>162</v>
      </c>
      <c r="FH1" t="s">
        <v>163</v>
      </c>
      <c r="FI1" t="s">
        <v>164</v>
      </c>
      <c r="FJ1" t="s">
        <v>165</v>
      </c>
      <c r="FK1" t="s">
        <v>166</v>
      </c>
      <c r="FL1" t="s">
        <v>167</v>
      </c>
      <c r="FM1" t="s">
        <v>168</v>
      </c>
      <c r="FN1" t="s">
        <v>169</v>
      </c>
      <c r="FO1" t="s">
        <v>170</v>
      </c>
      <c r="FP1" t="s">
        <v>171</v>
      </c>
      <c r="FQ1" t="s">
        <v>172</v>
      </c>
      <c r="FR1" t="s">
        <v>173</v>
      </c>
      <c r="FS1" t="s">
        <v>174</v>
      </c>
      <c r="FT1" t="s">
        <v>175</v>
      </c>
      <c r="FU1" t="s">
        <v>176</v>
      </c>
      <c r="FV1" t="s">
        <v>177</v>
      </c>
      <c r="FW1" t="s">
        <v>178</v>
      </c>
      <c r="FX1" t="s">
        <v>179</v>
      </c>
      <c r="FY1" t="s">
        <v>180</v>
      </c>
      <c r="FZ1" t="s">
        <v>181</v>
      </c>
      <c r="GA1" t="s">
        <v>182</v>
      </c>
      <c r="GB1" t="s">
        <v>183</v>
      </c>
      <c r="GC1" t="s">
        <v>184</v>
      </c>
      <c r="GD1" t="s">
        <v>185</v>
      </c>
      <c r="GE1" t="s">
        <v>186</v>
      </c>
      <c r="GF1" t="s">
        <v>187</v>
      </c>
      <c r="GG1" t="s">
        <v>188</v>
      </c>
      <c r="GH1" t="s">
        <v>189</v>
      </c>
      <c r="GI1" t="s">
        <v>190</v>
      </c>
      <c r="GJ1" t="s">
        <v>191</v>
      </c>
      <c r="GK1" t="s">
        <v>192</v>
      </c>
      <c r="GL1" t="s">
        <v>193</v>
      </c>
      <c r="GM1" t="s">
        <v>194</v>
      </c>
      <c r="GN1" t="s">
        <v>195</v>
      </c>
      <c r="GO1" t="s">
        <v>196</v>
      </c>
      <c r="GP1" t="s">
        <v>197</v>
      </c>
      <c r="GQ1" t="s">
        <v>198</v>
      </c>
      <c r="GR1" t="s">
        <v>199</v>
      </c>
      <c r="GS1" t="s">
        <v>200</v>
      </c>
      <c r="GT1" t="s">
        <v>201</v>
      </c>
      <c r="GU1" t="s">
        <v>202</v>
      </c>
      <c r="GV1" t="s">
        <v>203</v>
      </c>
      <c r="GW1" t="s">
        <v>204</v>
      </c>
      <c r="GX1" t="s">
        <v>205</v>
      </c>
      <c r="GY1" t="s">
        <v>206</v>
      </c>
      <c r="GZ1" t="s">
        <v>207</v>
      </c>
      <c r="HA1" t="s">
        <v>208</v>
      </c>
      <c r="HB1" t="s">
        <v>209</v>
      </c>
      <c r="HC1" t="s">
        <v>210</v>
      </c>
      <c r="HD1" t="s">
        <v>211</v>
      </c>
      <c r="HE1" t="s">
        <v>212</v>
      </c>
      <c r="HF1" t="s">
        <v>213</v>
      </c>
      <c r="HG1" t="s">
        <v>214</v>
      </c>
      <c r="HH1" t="s">
        <v>215</v>
      </c>
      <c r="HI1" t="s">
        <v>216</v>
      </c>
      <c r="HJ1" t="s">
        <v>217</v>
      </c>
      <c r="HK1" t="s">
        <v>218</v>
      </c>
      <c r="HL1" t="s">
        <v>219</v>
      </c>
      <c r="HM1" t="s">
        <v>220</v>
      </c>
      <c r="HN1" t="s">
        <v>221</v>
      </c>
      <c r="HO1" t="s">
        <v>222</v>
      </c>
      <c r="HP1" t="s">
        <v>223</v>
      </c>
      <c r="HQ1" t="s">
        <v>224</v>
      </c>
      <c r="HR1" t="s">
        <v>225</v>
      </c>
      <c r="HS1" t="s">
        <v>226</v>
      </c>
      <c r="HT1" t="s">
        <v>227</v>
      </c>
    </row>
    <row r="2" spans="1:228" x14ac:dyDescent="0.3">
      <c r="A2">
        <v>9</v>
      </c>
      <c r="B2" t="s">
        <v>228</v>
      </c>
      <c r="C2">
        <v>1</v>
      </c>
      <c r="D2">
        <v>204700</v>
      </c>
      <c r="E2">
        <v>207400</v>
      </c>
      <c r="F2">
        <v>210100</v>
      </c>
      <c r="G2">
        <v>212800</v>
      </c>
      <c r="H2">
        <v>215600</v>
      </c>
      <c r="I2">
        <v>218300</v>
      </c>
      <c r="J2">
        <v>221100</v>
      </c>
      <c r="K2">
        <v>223700</v>
      </c>
      <c r="L2">
        <v>226300</v>
      </c>
      <c r="M2">
        <v>228800</v>
      </c>
      <c r="N2">
        <v>231300</v>
      </c>
      <c r="O2">
        <v>233900</v>
      </c>
      <c r="P2">
        <v>236500</v>
      </c>
      <c r="Q2">
        <v>239000</v>
      </c>
      <c r="R2">
        <v>241400</v>
      </c>
      <c r="S2">
        <v>243700</v>
      </c>
      <c r="T2">
        <v>246000</v>
      </c>
      <c r="U2">
        <v>248300</v>
      </c>
      <c r="V2">
        <v>250600</v>
      </c>
      <c r="W2">
        <v>252700</v>
      </c>
      <c r="X2">
        <v>254900</v>
      </c>
      <c r="Y2">
        <v>257300</v>
      </c>
      <c r="Z2">
        <v>259800</v>
      </c>
      <c r="AA2">
        <v>262400</v>
      </c>
      <c r="AB2">
        <v>265200</v>
      </c>
      <c r="AC2">
        <v>268000</v>
      </c>
      <c r="AD2">
        <v>270900</v>
      </c>
      <c r="AE2">
        <v>273900</v>
      </c>
      <c r="AF2">
        <v>277100</v>
      </c>
      <c r="AG2">
        <v>280500</v>
      </c>
      <c r="AH2">
        <v>284100</v>
      </c>
      <c r="AI2">
        <v>288000</v>
      </c>
      <c r="AJ2">
        <v>292000</v>
      </c>
      <c r="AK2">
        <v>296300</v>
      </c>
      <c r="AL2">
        <v>300700</v>
      </c>
      <c r="AM2">
        <v>305100</v>
      </c>
      <c r="AN2">
        <v>309300</v>
      </c>
      <c r="AO2">
        <v>313500</v>
      </c>
      <c r="AP2">
        <v>317900</v>
      </c>
      <c r="AQ2">
        <v>322400</v>
      </c>
      <c r="AR2">
        <v>327100</v>
      </c>
      <c r="AS2">
        <v>332000</v>
      </c>
      <c r="AT2">
        <v>337300</v>
      </c>
      <c r="AU2">
        <v>342700</v>
      </c>
      <c r="AV2">
        <v>348400</v>
      </c>
      <c r="AW2">
        <v>354400</v>
      </c>
      <c r="AX2">
        <v>360400</v>
      </c>
      <c r="AY2">
        <v>366700</v>
      </c>
      <c r="AZ2">
        <v>373500</v>
      </c>
      <c r="BA2">
        <v>380800</v>
      </c>
      <c r="BB2">
        <v>388700</v>
      </c>
      <c r="BC2">
        <v>397500</v>
      </c>
      <c r="BD2">
        <v>406900</v>
      </c>
      <c r="BE2">
        <v>416500</v>
      </c>
      <c r="BF2">
        <v>425900</v>
      </c>
      <c r="BG2">
        <v>434800</v>
      </c>
      <c r="BH2">
        <v>443100</v>
      </c>
      <c r="BI2">
        <v>450800</v>
      </c>
      <c r="BJ2">
        <v>457800</v>
      </c>
      <c r="BK2">
        <v>464700</v>
      </c>
      <c r="BL2">
        <v>471300</v>
      </c>
      <c r="BM2">
        <v>477700</v>
      </c>
      <c r="BN2">
        <v>484200</v>
      </c>
      <c r="BO2">
        <v>490700</v>
      </c>
      <c r="BP2">
        <v>497000</v>
      </c>
      <c r="BQ2">
        <v>503000</v>
      </c>
      <c r="BR2">
        <v>508600</v>
      </c>
      <c r="BS2">
        <v>513500</v>
      </c>
      <c r="BT2">
        <v>518000</v>
      </c>
      <c r="BU2">
        <v>522200</v>
      </c>
      <c r="BV2">
        <v>525700</v>
      </c>
      <c r="BW2">
        <v>528800</v>
      </c>
      <c r="BX2">
        <v>531600</v>
      </c>
      <c r="BY2">
        <v>534000</v>
      </c>
      <c r="BZ2">
        <v>536300</v>
      </c>
      <c r="CA2">
        <v>538300</v>
      </c>
      <c r="CB2">
        <v>539600</v>
      </c>
      <c r="CC2">
        <v>540100</v>
      </c>
      <c r="CD2">
        <v>539500</v>
      </c>
      <c r="CE2">
        <v>537500</v>
      </c>
      <c r="CF2">
        <v>534800</v>
      </c>
      <c r="CG2">
        <v>532200</v>
      </c>
      <c r="CH2">
        <v>529500</v>
      </c>
      <c r="CI2">
        <v>526900</v>
      </c>
      <c r="CJ2">
        <v>524600</v>
      </c>
      <c r="CK2">
        <v>522000</v>
      </c>
      <c r="CL2">
        <v>518900</v>
      </c>
      <c r="CM2">
        <v>515400</v>
      </c>
      <c r="CN2">
        <v>511500</v>
      </c>
      <c r="CO2">
        <v>507300</v>
      </c>
      <c r="CP2">
        <v>502100</v>
      </c>
      <c r="CQ2">
        <v>495800</v>
      </c>
      <c r="CR2">
        <v>489000</v>
      </c>
      <c r="CS2">
        <v>481900</v>
      </c>
      <c r="CT2">
        <v>474500</v>
      </c>
      <c r="CU2">
        <v>466700</v>
      </c>
      <c r="CV2">
        <v>458500</v>
      </c>
      <c r="CW2">
        <v>449500</v>
      </c>
      <c r="CX2">
        <v>439500</v>
      </c>
      <c r="CY2">
        <v>428500</v>
      </c>
      <c r="CZ2">
        <v>417600</v>
      </c>
      <c r="DA2">
        <v>407100</v>
      </c>
      <c r="DB2">
        <v>398400</v>
      </c>
      <c r="DC2">
        <v>391500</v>
      </c>
      <c r="DD2">
        <v>385800</v>
      </c>
      <c r="DE2">
        <v>380200</v>
      </c>
      <c r="DF2">
        <v>374900</v>
      </c>
      <c r="DG2">
        <v>369800</v>
      </c>
      <c r="DH2">
        <v>365000</v>
      </c>
      <c r="DI2">
        <v>360100</v>
      </c>
      <c r="DJ2">
        <v>354600</v>
      </c>
      <c r="DK2">
        <v>348700</v>
      </c>
      <c r="DL2">
        <v>342500</v>
      </c>
      <c r="DM2">
        <v>337400</v>
      </c>
      <c r="DN2">
        <v>334400</v>
      </c>
      <c r="DO2">
        <v>333100</v>
      </c>
      <c r="DP2">
        <v>332700</v>
      </c>
      <c r="DQ2">
        <v>332900</v>
      </c>
      <c r="DR2">
        <v>333400</v>
      </c>
      <c r="DS2">
        <v>334200</v>
      </c>
      <c r="DT2">
        <v>335000</v>
      </c>
      <c r="DU2">
        <v>335400</v>
      </c>
      <c r="DV2">
        <v>335000</v>
      </c>
      <c r="DW2">
        <v>335000</v>
      </c>
      <c r="DX2">
        <v>335600</v>
      </c>
      <c r="DY2">
        <v>335500</v>
      </c>
      <c r="DZ2">
        <v>334200</v>
      </c>
      <c r="EA2">
        <v>332900</v>
      </c>
      <c r="EB2">
        <v>331100</v>
      </c>
      <c r="EC2">
        <v>328800</v>
      </c>
      <c r="ED2">
        <v>326500</v>
      </c>
      <c r="EE2">
        <v>323800</v>
      </c>
      <c r="EF2">
        <v>320900</v>
      </c>
      <c r="EG2">
        <v>318500</v>
      </c>
      <c r="EH2">
        <v>316700</v>
      </c>
      <c r="EI2">
        <v>314700</v>
      </c>
      <c r="EJ2">
        <v>312800</v>
      </c>
      <c r="EK2">
        <v>311000</v>
      </c>
      <c r="EL2">
        <v>309100</v>
      </c>
      <c r="EM2">
        <v>307100</v>
      </c>
      <c r="EN2">
        <v>305200</v>
      </c>
      <c r="EO2">
        <v>303500</v>
      </c>
      <c r="EP2">
        <v>302300</v>
      </c>
      <c r="EQ2">
        <v>301400</v>
      </c>
      <c r="ER2">
        <v>300900</v>
      </c>
      <c r="ES2">
        <v>300800</v>
      </c>
      <c r="ET2">
        <v>301700</v>
      </c>
      <c r="EU2">
        <v>303800</v>
      </c>
      <c r="EV2">
        <v>306300</v>
      </c>
      <c r="EW2">
        <v>308500</v>
      </c>
      <c r="EX2">
        <v>310600</v>
      </c>
      <c r="EY2">
        <v>312700</v>
      </c>
      <c r="EZ2">
        <v>315300</v>
      </c>
      <c r="FA2">
        <v>318500</v>
      </c>
      <c r="FB2">
        <v>322600</v>
      </c>
      <c r="FC2">
        <v>326700</v>
      </c>
      <c r="FD2">
        <v>330400</v>
      </c>
      <c r="FE2">
        <v>335000</v>
      </c>
      <c r="FF2">
        <v>341300</v>
      </c>
      <c r="FG2">
        <v>348500</v>
      </c>
      <c r="FH2">
        <v>355700</v>
      </c>
      <c r="FI2">
        <v>363300</v>
      </c>
      <c r="FJ2">
        <v>370200</v>
      </c>
      <c r="FK2">
        <v>376200</v>
      </c>
      <c r="FL2">
        <v>380900</v>
      </c>
      <c r="FM2">
        <v>384600</v>
      </c>
      <c r="FN2">
        <v>387600</v>
      </c>
      <c r="FO2">
        <v>390500</v>
      </c>
      <c r="FP2">
        <v>393300</v>
      </c>
      <c r="FQ2">
        <v>396500</v>
      </c>
      <c r="FR2">
        <v>399900</v>
      </c>
      <c r="FS2">
        <v>402800</v>
      </c>
      <c r="FT2">
        <v>405200</v>
      </c>
      <c r="FU2">
        <v>407400</v>
      </c>
      <c r="FV2">
        <v>409500</v>
      </c>
      <c r="FW2">
        <v>411400</v>
      </c>
      <c r="FX2">
        <v>412900</v>
      </c>
      <c r="FY2">
        <v>414800</v>
      </c>
      <c r="FZ2">
        <v>416600</v>
      </c>
      <c r="GA2">
        <v>418800</v>
      </c>
      <c r="GB2">
        <v>421300</v>
      </c>
      <c r="GC2">
        <v>424200</v>
      </c>
      <c r="GD2">
        <v>426700</v>
      </c>
      <c r="GE2">
        <v>429000</v>
      </c>
      <c r="GF2">
        <v>431400</v>
      </c>
      <c r="GG2">
        <v>434200</v>
      </c>
      <c r="GH2">
        <v>436700</v>
      </c>
      <c r="GI2">
        <v>439000</v>
      </c>
      <c r="GJ2">
        <v>441800</v>
      </c>
      <c r="GK2">
        <v>444400</v>
      </c>
      <c r="GL2">
        <v>446900</v>
      </c>
      <c r="GM2">
        <v>449700</v>
      </c>
      <c r="GN2">
        <v>452800</v>
      </c>
      <c r="GO2">
        <v>455200</v>
      </c>
      <c r="GP2">
        <v>457200</v>
      </c>
      <c r="GQ2">
        <v>459200</v>
      </c>
      <c r="GR2">
        <v>461300</v>
      </c>
      <c r="GS2">
        <v>463400</v>
      </c>
      <c r="GT2">
        <v>466200</v>
      </c>
      <c r="GU2">
        <v>469600</v>
      </c>
      <c r="GV2">
        <v>473100</v>
      </c>
      <c r="GW2">
        <v>476900</v>
      </c>
      <c r="GX2">
        <v>480500</v>
      </c>
      <c r="GY2">
        <v>483800</v>
      </c>
      <c r="GZ2">
        <v>487200</v>
      </c>
      <c r="HA2">
        <v>490400</v>
      </c>
      <c r="HB2">
        <v>493200</v>
      </c>
      <c r="HC2">
        <v>496000</v>
      </c>
      <c r="HD2">
        <v>499000</v>
      </c>
      <c r="HE2">
        <v>502100</v>
      </c>
      <c r="HF2">
        <v>505300</v>
      </c>
      <c r="HG2">
        <v>508200</v>
      </c>
      <c r="HH2">
        <v>511500</v>
      </c>
      <c r="HI2">
        <v>515000</v>
      </c>
      <c r="HJ2">
        <v>518400</v>
      </c>
      <c r="HK2">
        <v>521800</v>
      </c>
      <c r="HL2">
        <v>526700</v>
      </c>
      <c r="HM2">
        <v>531900</v>
      </c>
      <c r="HN2">
        <v>535000</v>
      </c>
      <c r="HO2">
        <v>536400</v>
      </c>
      <c r="HP2">
        <v>538200</v>
      </c>
      <c r="HQ2">
        <v>539900</v>
      </c>
      <c r="HR2">
        <v>541400</v>
      </c>
      <c r="HS2">
        <v>543200</v>
      </c>
      <c r="HT2">
        <v>544900</v>
      </c>
    </row>
    <row r="3" spans="1:228" x14ac:dyDescent="0.3">
      <c r="A3">
        <v>54</v>
      </c>
      <c r="B3" t="s">
        <v>229</v>
      </c>
      <c r="C3">
        <v>2</v>
      </c>
      <c r="D3">
        <v>112100</v>
      </c>
      <c r="E3">
        <v>112900</v>
      </c>
      <c r="F3">
        <v>113300</v>
      </c>
      <c r="G3">
        <v>113600</v>
      </c>
      <c r="H3">
        <v>113700</v>
      </c>
      <c r="I3">
        <v>113600</v>
      </c>
      <c r="J3">
        <v>113200</v>
      </c>
      <c r="K3">
        <v>112500</v>
      </c>
      <c r="L3">
        <v>111400</v>
      </c>
      <c r="M3">
        <v>110300</v>
      </c>
      <c r="N3">
        <v>109500</v>
      </c>
      <c r="O3">
        <v>108900</v>
      </c>
      <c r="P3">
        <v>108600</v>
      </c>
      <c r="Q3">
        <v>108400</v>
      </c>
      <c r="R3">
        <v>108500</v>
      </c>
      <c r="S3">
        <v>108800</v>
      </c>
      <c r="T3">
        <v>109200</v>
      </c>
      <c r="U3">
        <v>109600</v>
      </c>
      <c r="V3">
        <v>109900</v>
      </c>
      <c r="W3">
        <v>110000</v>
      </c>
      <c r="X3">
        <v>110200</v>
      </c>
      <c r="Y3">
        <v>110300</v>
      </c>
      <c r="Z3">
        <v>110500</v>
      </c>
      <c r="AA3">
        <v>110700</v>
      </c>
      <c r="AB3">
        <v>110900</v>
      </c>
      <c r="AC3">
        <v>111200</v>
      </c>
      <c r="AD3">
        <v>111400</v>
      </c>
      <c r="AE3">
        <v>111700</v>
      </c>
      <c r="AF3">
        <v>112000</v>
      </c>
      <c r="AG3">
        <v>112500</v>
      </c>
      <c r="AH3">
        <v>112900</v>
      </c>
      <c r="AI3">
        <v>113400</v>
      </c>
      <c r="AJ3">
        <v>113900</v>
      </c>
      <c r="AK3">
        <v>114400</v>
      </c>
      <c r="AL3">
        <v>114800</v>
      </c>
      <c r="AM3">
        <v>115100</v>
      </c>
      <c r="AN3">
        <v>115300</v>
      </c>
      <c r="AO3">
        <v>115400</v>
      </c>
      <c r="AP3">
        <v>115500</v>
      </c>
      <c r="AQ3">
        <v>115600</v>
      </c>
      <c r="AR3">
        <v>115800</v>
      </c>
      <c r="AS3">
        <v>115900</v>
      </c>
      <c r="AT3">
        <v>116100</v>
      </c>
      <c r="AU3">
        <v>116400</v>
      </c>
      <c r="AV3">
        <v>116700</v>
      </c>
      <c r="AW3">
        <v>116900</v>
      </c>
      <c r="AX3">
        <v>117300</v>
      </c>
      <c r="AY3">
        <v>117800</v>
      </c>
      <c r="AZ3">
        <v>118600</v>
      </c>
      <c r="BA3">
        <v>119500</v>
      </c>
      <c r="BB3">
        <v>120500</v>
      </c>
      <c r="BC3">
        <v>121500</v>
      </c>
      <c r="BD3">
        <v>122200</v>
      </c>
      <c r="BE3">
        <v>122900</v>
      </c>
      <c r="BF3">
        <v>123500</v>
      </c>
      <c r="BG3">
        <v>124100</v>
      </c>
      <c r="BH3">
        <v>124700</v>
      </c>
      <c r="BI3">
        <v>125400</v>
      </c>
      <c r="BJ3">
        <v>126000</v>
      </c>
      <c r="BK3">
        <v>126500</v>
      </c>
      <c r="BL3">
        <v>126900</v>
      </c>
      <c r="BM3">
        <v>127300</v>
      </c>
      <c r="BN3">
        <v>127600</v>
      </c>
      <c r="BO3">
        <v>127900</v>
      </c>
      <c r="BP3">
        <v>128200</v>
      </c>
      <c r="BQ3">
        <v>128500</v>
      </c>
      <c r="BR3">
        <v>128800</v>
      </c>
      <c r="BS3">
        <v>129000</v>
      </c>
      <c r="BT3">
        <v>129200</v>
      </c>
      <c r="BU3">
        <v>129300</v>
      </c>
      <c r="BV3">
        <v>129500</v>
      </c>
      <c r="BW3">
        <v>129800</v>
      </c>
      <c r="BX3">
        <v>130000</v>
      </c>
      <c r="BY3">
        <v>130300</v>
      </c>
      <c r="BZ3">
        <v>130700</v>
      </c>
      <c r="CA3">
        <v>131100</v>
      </c>
      <c r="CB3">
        <v>131500</v>
      </c>
      <c r="CC3">
        <v>131900</v>
      </c>
      <c r="CD3">
        <v>132400</v>
      </c>
      <c r="CE3">
        <v>132900</v>
      </c>
      <c r="CF3">
        <v>133400</v>
      </c>
      <c r="CG3">
        <v>133800</v>
      </c>
      <c r="CH3">
        <v>134300</v>
      </c>
      <c r="CI3">
        <v>134800</v>
      </c>
      <c r="CJ3">
        <v>135200</v>
      </c>
      <c r="CK3">
        <v>135500</v>
      </c>
      <c r="CL3">
        <v>135800</v>
      </c>
      <c r="CM3">
        <v>136200</v>
      </c>
      <c r="CN3">
        <v>136600</v>
      </c>
      <c r="CO3">
        <v>137100</v>
      </c>
      <c r="CP3">
        <v>137500</v>
      </c>
      <c r="CQ3">
        <v>137900</v>
      </c>
      <c r="CR3">
        <v>138300</v>
      </c>
      <c r="CS3">
        <v>138700</v>
      </c>
      <c r="CT3">
        <v>138900</v>
      </c>
      <c r="CU3">
        <v>138900</v>
      </c>
      <c r="CV3">
        <v>138600</v>
      </c>
      <c r="CW3">
        <v>138100</v>
      </c>
      <c r="CX3">
        <v>137500</v>
      </c>
      <c r="CY3">
        <v>136800</v>
      </c>
      <c r="CZ3">
        <v>136100</v>
      </c>
      <c r="DA3">
        <v>135400</v>
      </c>
      <c r="DB3">
        <v>134700</v>
      </c>
      <c r="DC3">
        <v>134200</v>
      </c>
      <c r="DD3">
        <v>133800</v>
      </c>
      <c r="DE3">
        <v>133400</v>
      </c>
      <c r="DF3">
        <v>133000</v>
      </c>
      <c r="DG3">
        <v>132700</v>
      </c>
      <c r="DH3">
        <v>132500</v>
      </c>
      <c r="DI3">
        <v>132300</v>
      </c>
      <c r="DJ3">
        <v>132000</v>
      </c>
      <c r="DK3">
        <v>131700</v>
      </c>
      <c r="DL3">
        <v>131300</v>
      </c>
      <c r="DM3">
        <v>130900</v>
      </c>
      <c r="DN3">
        <v>130700</v>
      </c>
      <c r="DO3">
        <v>130700</v>
      </c>
      <c r="DP3">
        <v>130700</v>
      </c>
      <c r="DQ3">
        <v>130700</v>
      </c>
      <c r="DR3">
        <v>130700</v>
      </c>
      <c r="DS3">
        <v>130900</v>
      </c>
      <c r="DT3">
        <v>131000</v>
      </c>
      <c r="DU3">
        <v>131100</v>
      </c>
      <c r="DV3">
        <v>131100</v>
      </c>
      <c r="DW3">
        <v>130800</v>
      </c>
      <c r="DX3">
        <v>130600</v>
      </c>
      <c r="DY3">
        <v>130500</v>
      </c>
      <c r="DZ3">
        <v>130400</v>
      </c>
      <c r="EA3">
        <v>130100</v>
      </c>
      <c r="EB3">
        <v>129900</v>
      </c>
      <c r="EC3">
        <v>129600</v>
      </c>
      <c r="ED3">
        <v>129300</v>
      </c>
      <c r="EE3">
        <v>128900</v>
      </c>
      <c r="EF3">
        <v>128500</v>
      </c>
      <c r="EG3">
        <v>128100</v>
      </c>
      <c r="EH3">
        <v>127800</v>
      </c>
      <c r="EI3">
        <v>127700</v>
      </c>
      <c r="EJ3">
        <v>127600</v>
      </c>
      <c r="EK3">
        <v>127500</v>
      </c>
      <c r="EL3">
        <v>127300</v>
      </c>
      <c r="EM3">
        <v>127100</v>
      </c>
      <c r="EN3">
        <v>126700</v>
      </c>
      <c r="EO3">
        <v>126300</v>
      </c>
      <c r="EP3">
        <v>126200</v>
      </c>
      <c r="EQ3">
        <v>125900</v>
      </c>
      <c r="ER3">
        <v>125700</v>
      </c>
      <c r="ES3">
        <v>125700</v>
      </c>
      <c r="ET3">
        <v>125900</v>
      </c>
      <c r="EU3">
        <v>126300</v>
      </c>
      <c r="EV3">
        <v>126500</v>
      </c>
      <c r="EW3">
        <v>126500</v>
      </c>
      <c r="EX3">
        <v>126700</v>
      </c>
      <c r="EY3">
        <v>127000</v>
      </c>
      <c r="EZ3">
        <v>127200</v>
      </c>
      <c r="FA3">
        <v>127200</v>
      </c>
      <c r="FB3">
        <v>127300</v>
      </c>
      <c r="FC3">
        <v>127600</v>
      </c>
      <c r="FD3">
        <v>128000</v>
      </c>
      <c r="FE3">
        <v>128400</v>
      </c>
      <c r="FF3">
        <v>128700</v>
      </c>
      <c r="FG3">
        <v>129000</v>
      </c>
      <c r="FH3">
        <v>129400</v>
      </c>
      <c r="FI3">
        <v>130000</v>
      </c>
      <c r="FJ3">
        <v>130500</v>
      </c>
      <c r="FK3">
        <v>131000</v>
      </c>
      <c r="FL3">
        <v>131600</v>
      </c>
      <c r="FM3">
        <v>132200</v>
      </c>
      <c r="FN3">
        <v>132800</v>
      </c>
      <c r="FO3">
        <v>133400</v>
      </c>
      <c r="FP3">
        <v>133800</v>
      </c>
      <c r="FQ3">
        <v>134300</v>
      </c>
      <c r="FR3">
        <v>134900</v>
      </c>
      <c r="FS3">
        <v>135500</v>
      </c>
      <c r="FT3">
        <v>136100</v>
      </c>
      <c r="FU3">
        <v>136700</v>
      </c>
      <c r="FV3">
        <v>137200</v>
      </c>
      <c r="FW3">
        <v>137800</v>
      </c>
      <c r="FX3">
        <v>138500</v>
      </c>
      <c r="FY3">
        <v>139200</v>
      </c>
      <c r="FZ3">
        <v>140100</v>
      </c>
      <c r="GA3">
        <v>141000</v>
      </c>
      <c r="GB3">
        <v>141800</v>
      </c>
      <c r="GC3">
        <v>142400</v>
      </c>
      <c r="GD3">
        <v>143100</v>
      </c>
      <c r="GE3">
        <v>144000</v>
      </c>
      <c r="GF3">
        <v>145000</v>
      </c>
      <c r="GG3">
        <v>145900</v>
      </c>
      <c r="GH3">
        <v>146600</v>
      </c>
      <c r="GI3">
        <v>147400</v>
      </c>
      <c r="GJ3">
        <v>148300</v>
      </c>
      <c r="GK3">
        <v>149200</v>
      </c>
      <c r="GL3">
        <v>150100</v>
      </c>
      <c r="GM3">
        <v>151000</v>
      </c>
      <c r="GN3">
        <v>151900</v>
      </c>
      <c r="GO3">
        <v>153000</v>
      </c>
      <c r="GP3">
        <v>154000</v>
      </c>
      <c r="GQ3">
        <v>155200</v>
      </c>
      <c r="GR3">
        <v>156500</v>
      </c>
      <c r="GS3">
        <v>158100</v>
      </c>
      <c r="GT3">
        <v>159800</v>
      </c>
      <c r="GU3">
        <v>161300</v>
      </c>
      <c r="GV3">
        <v>163000</v>
      </c>
      <c r="GW3">
        <v>164800</v>
      </c>
      <c r="GX3">
        <v>166300</v>
      </c>
      <c r="GY3">
        <v>167500</v>
      </c>
      <c r="GZ3">
        <v>168900</v>
      </c>
      <c r="HA3">
        <v>170100</v>
      </c>
      <c r="HB3">
        <v>171300</v>
      </c>
      <c r="HC3">
        <v>172400</v>
      </c>
      <c r="HD3">
        <v>173400</v>
      </c>
      <c r="HE3">
        <v>174200</v>
      </c>
      <c r="HF3">
        <v>175000</v>
      </c>
      <c r="HG3">
        <v>175800</v>
      </c>
      <c r="HH3">
        <v>176700</v>
      </c>
      <c r="HI3">
        <v>177600</v>
      </c>
      <c r="HJ3">
        <v>178500</v>
      </c>
      <c r="HK3">
        <v>179500</v>
      </c>
      <c r="HL3">
        <v>180600</v>
      </c>
      <c r="HM3">
        <v>182000</v>
      </c>
      <c r="HN3">
        <v>183300</v>
      </c>
      <c r="HO3">
        <v>184200</v>
      </c>
      <c r="HP3">
        <v>185200</v>
      </c>
      <c r="HQ3">
        <v>186200</v>
      </c>
      <c r="HR3">
        <v>187100</v>
      </c>
      <c r="HS3">
        <v>188000</v>
      </c>
      <c r="HT3">
        <v>188700</v>
      </c>
    </row>
    <row r="4" spans="1:228" x14ac:dyDescent="0.3">
      <c r="A4">
        <v>43</v>
      </c>
      <c r="B4" t="s">
        <v>230</v>
      </c>
      <c r="C4">
        <v>3</v>
      </c>
      <c r="D4">
        <v>141300</v>
      </c>
      <c r="E4">
        <v>142500</v>
      </c>
      <c r="F4">
        <v>143600</v>
      </c>
      <c r="G4">
        <v>144800</v>
      </c>
      <c r="H4">
        <v>146000</v>
      </c>
      <c r="I4">
        <v>147200</v>
      </c>
      <c r="J4">
        <v>148200</v>
      </c>
      <c r="K4">
        <v>149300</v>
      </c>
      <c r="L4">
        <v>150400</v>
      </c>
      <c r="M4">
        <v>151500</v>
      </c>
      <c r="N4">
        <v>152600</v>
      </c>
      <c r="O4">
        <v>153800</v>
      </c>
      <c r="P4">
        <v>155000</v>
      </c>
      <c r="Q4">
        <v>156200</v>
      </c>
      <c r="R4">
        <v>157400</v>
      </c>
      <c r="S4">
        <v>158600</v>
      </c>
      <c r="T4">
        <v>159900</v>
      </c>
      <c r="U4">
        <v>161200</v>
      </c>
      <c r="V4">
        <v>162500</v>
      </c>
      <c r="W4">
        <v>163900</v>
      </c>
      <c r="X4">
        <v>165200</v>
      </c>
      <c r="Y4">
        <v>166600</v>
      </c>
      <c r="Z4">
        <v>168100</v>
      </c>
      <c r="AA4">
        <v>169800</v>
      </c>
      <c r="AB4">
        <v>171400</v>
      </c>
      <c r="AC4">
        <v>173100</v>
      </c>
      <c r="AD4">
        <v>174600</v>
      </c>
      <c r="AE4">
        <v>176200</v>
      </c>
      <c r="AF4">
        <v>177800</v>
      </c>
      <c r="AG4">
        <v>179600</v>
      </c>
      <c r="AH4">
        <v>181400</v>
      </c>
      <c r="AI4">
        <v>183200</v>
      </c>
      <c r="AJ4">
        <v>185200</v>
      </c>
      <c r="AK4">
        <v>187200</v>
      </c>
      <c r="AL4">
        <v>189300</v>
      </c>
      <c r="AM4">
        <v>191600</v>
      </c>
      <c r="AN4">
        <v>194000</v>
      </c>
      <c r="AO4">
        <v>196600</v>
      </c>
      <c r="AP4">
        <v>199500</v>
      </c>
      <c r="AQ4">
        <v>202400</v>
      </c>
      <c r="AR4">
        <v>205300</v>
      </c>
      <c r="AS4">
        <v>208100</v>
      </c>
      <c r="AT4">
        <v>210900</v>
      </c>
      <c r="AU4">
        <v>213600</v>
      </c>
      <c r="AV4">
        <v>216200</v>
      </c>
      <c r="AW4">
        <v>218800</v>
      </c>
      <c r="AX4">
        <v>221300</v>
      </c>
      <c r="AY4">
        <v>223700</v>
      </c>
      <c r="AZ4">
        <v>226100</v>
      </c>
      <c r="BA4">
        <v>228300</v>
      </c>
      <c r="BB4">
        <v>230600</v>
      </c>
      <c r="BC4">
        <v>233000</v>
      </c>
      <c r="BD4">
        <v>235500</v>
      </c>
      <c r="BE4">
        <v>238300</v>
      </c>
      <c r="BF4">
        <v>241400</v>
      </c>
      <c r="BG4">
        <v>244600</v>
      </c>
      <c r="BH4">
        <v>248000</v>
      </c>
      <c r="BI4">
        <v>251400</v>
      </c>
      <c r="BJ4">
        <v>254800</v>
      </c>
      <c r="BK4">
        <v>258200</v>
      </c>
      <c r="BL4">
        <v>261400</v>
      </c>
      <c r="BM4">
        <v>264500</v>
      </c>
      <c r="BN4">
        <v>267600</v>
      </c>
      <c r="BO4">
        <v>270800</v>
      </c>
      <c r="BP4">
        <v>273800</v>
      </c>
      <c r="BQ4">
        <v>276800</v>
      </c>
      <c r="BR4">
        <v>279600</v>
      </c>
      <c r="BS4">
        <v>282300</v>
      </c>
      <c r="BT4">
        <v>284900</v>
      </c>
      <c r="BU4">
        <v>287400</v>
      </c>
      <c r="BV4">
        <v>289800</v>
      </c>
      <c r="BW4">
        <v>291900</v>
      </c>
      <c r="BX4">
        <v>293900</v>
      </c>
      <c r="BY4">
        <v>295500</v>
      </c>
      <c r="BZ4">
        <v>297200</v>
      </c>
      <c r="CA4">
        <v>298700</v>
      </c>
      <c r="CB4">
        <v>300000</v>
      </c>
      <c r="CC4">
        <v>301100</v>
      </c>
      <c r="CD4">
        <v>301900</v>
      </c>
      <c r="CE4">
        <v>302500</v>
      </c>
      <c r="CF4">
        <v>303000</v>
      </c>
      <c r="CG4">
        <v>303300</v>
      </c>
      <c r="CH4">
        <v>303400</v>
      </c>
      <c r="CI4">
        <v>303600</v>
      </c>
      <c r="CJ4">
        <v>303900</v>
      </c>
      <c r="CK4">
        <v>304200</v>
      </c>
      <c r="CL4">
        <v>304600</v>
      </c>
      <c r="CM4">
        <v>305100</v>
      </c>
      <c r="CN4">
        <v>305200</v>
      </c>
      <c r="CO4">
        <v>305000</v>
      </c>
      <c r="CP4">
        <v>304500</v>
      </c>
      <c r="CQ4">
        <v>303900</v>
      </c>
      <c r="CR4">
        <v>303100</v>
      </c>
      <c r="CS4">
        <v>302100</v>
      </c>
      <c r="CT4">
        <v>301000</v>
      </c>
      <c r="CU4">
        <v>299600</v>
      </c>
      <c r="CV4">
        <v>298100</v>
      </c>
      <c r="CW4">
        <v>296200</v>
      </c>
      <c r="CX4">
        <v>294400</v>
      </c>
      <c r="CY4">
        <v>292400</v>
      </c>
      <c r="CZ4">
        <v>290100</v>
      </c>
      <c r="DA4">
        <v>287600</v>
      </c>
      <c r="DB4">
        <v>285100</v>
      </c>
      <c r="DC4">
        <v>282600</v>
      </c>
      <c r="DD4">
        <v>280100</v>
      </c>
      <c r="DE4">
        <v>277700</v>
      </c>
      <c r="DF4">
        <v>275300</v>
      </c>
      <c r="DG4">
        <v>273100</v>
      </c>
      <c r="DH4">
        <v>271000</v>
      </c>
      <c r="DI4">
        <v>269000</v>
      </c>
      <c r="DJ4">
        <v>267200</v>
      </c>
      <c r="DK4">
        <v>265500</v>
      </c>
      <c r="DL4">
        <v>263300</v>
      </c>
      <c r="DM4">
        <v>261100</v>
      </c>
      <c r="DN4">
        <v>259500</v>
      </c>
      <c r="DO4">
        <v>258500</v>
      </c>
      <c r="DP4">
        <v>257900</v>
      </c>
      <c r="DQ4">
        <v>257500</v>
      </c>
      <c r="DR4">
        <v>257200</v>
      </c>
      <c r="DS4">
        <v>257200</v>
      </c>
      <c r="DT4">
        <v>257300</v>
      </c>
      <c r="DU4">
        <v>257700</v>
      </c>
      <c r="DV4">
        <v>257100</v>
      </c>
      <c r="DW4">
        <v>255300</v>
      </c>
      <c r="DX4">
        <v>253600</v>
      </c>
      <c r="DY4">
        <v>253200</v>
      </c>
      <c r="DZ4">
        <v>252500</v>
      </c>
      <c r="EA4">
        <v>251300</v>
      </c>
      <c r="EB4">
        <v>249800</v>
      </c>
      <c r="EC4">
        <v>248600</v>
      </c>
      <c r="ED4">
        <v>247200</v>
      </c>
      <c r="EE4">
        <v>245500</v>
      </c>
      <c r="EF4">
        <v>243800</v>
      </c>
      <c r="EG4">
        <v>242400</v>
      </c>
      <c r="EH4">
        <v>240700</v>
      </c>
      <c r="EI4">
        <v>239800</v>
      </c>
      <c r="EJ4">
        <v>239700</v>
      </c>
      <c r="EK4">
        <v>239500</v>
      </c>
      <c r="EL4">
        <v>238800</v>
      </c>
      <c r="EM4">
        <v>237900</v>
      </c>
      <c r="EN4">
        <v>236900</v>
      </c>
      <c r="EO4">
        <v>235700</v>
      </c>
      <c r="EP4">
        <v>234700</v>
      </c>
      <c r="EQ4">
        <v>234100</v>
      </c>
      <c r="ER4">
        <v>233500</v>
      </c>
      <c r="ES4">
        <v>232500</v>
      </c>
      <c r="ET4">
        <v>232100</v>
      </c>
      <c r="EU4">
        <v>232100</v>
      </c>
      <c r="EV4">
        <v>232100</v>
      </c>
      <c r="EW4">
        <v>231800</v>
      </c>
      <c r="EX4">
        <v>231400</v>
      </c>
      <c r="EY4">
        <v>230900</v>
      </c>
      <c r="EZ4">
        <v>231000</v>
      </c>
      <c r="FA4">
        <v>231200</v>
      </c>
      <c r="FB4">
        <v>231400</v>
      </c>
      <c r="FC4">
        <v>231400</v>
      </c>
      <c r="FD4">
        <v>231500</v>
      </c>
      <c r="FE4">
        <v>231700</v>
      </c>
      <c r="FF4">
        <v>232400</v>
      </c>
      <c r="FG4">
        <v>233000</v>
      </c>
      <c r="FH4">
        <v>233700</v>
      </c>
      <c r="FI4">
        <v>234400</v>
      </c>
      <c r="FJ4">
        <v>235400</v>
      </c>
      <c r="FK4">
        <v>236200</v>
      </c>
      <c r="FL4">
        <v>236800</v>
      </c>
      <c r="FM4">
        <v>237300</v>
      </c>
      <c r="FN4">
        <v>238200</v>
      </c>
      <c r="FO4">
        <v>238800</v>
      </c>
      <c r="FP4">
        <v>239300</v>
      </c>
      <c r="FQ4">
        <v>239700</v>
      </c>
      <c r="FR4">
        <v>240400</v>
      </c>
      <c r="FS4">
        <v>241100</v>
      </c>
      <c r="FT4">
        <v>241600</v>
      </c>
      <c r="FU4">
        <v>241700</v>
      </c>
      <c r="FV4">
        <v>242000</v>
      </c>
      <c r="FW4">
        <v>242600</v>
      </c>
      <c r="FX4">
        <v>243300</v>
      </c>
      <c r="FY4">
        <v>244000</v>
      </c>
      <c r="FZ4">
        <v>244300</v>
      </c>
      <c r="GA4">
        <v>244400</v>
      </c>
      <c r="GB4">
        <v>244800</v>
      </c>
      <c r="GC4">
        <v>245200</v>
      </c>
      <c r="GD4">
        <v>245200</v>
      </c>
      <c r="GE4">
        <v>245200</v>
      </c>
      <c r="GF4">
        <v>245700</v>
      </c>
      <c r="GG4">
        <v>246300</v>
      </c>
      <c r="GH4">
        <v>246800</v>
      </c>
      <c r="GI4">
        <v>247700</v>
      </c>
      <c r="GJ4">
        <v>249100</v>
      </c>
      <c r="GK4">
        <v>250300</v>
      </c>
      <c r="GL4">
        <v>250900</v>
      </c>
      <c r="GM4">
        <v>251300</v>
      </c>
      <c r="GN4">
        <v>251900</v>
      </c>
      <c r="GO4">
        <v>252700</v>
      </c>
      <c r="GP4">
        <v>253800</v>
      </c>
      <c r="GQ4">
        <v>254900</v>
      </c>
      <c r="GR4">
        <v>255600</v>
      </c>
      <c r="GS4">
        <v>256200</v>
      </c>
      <c r="GT4">
        <v>257200</v>
      </c>
      <c r="GU4">
        <v>258300</v>
      </c>
      <c r="GV4">
        <v>258800</v>
      </c>
      <c r="GW4">
        <v>259300</v>
      </c>
      <c r="GX4">
        <v>260400</v>
      </c>
      <c r="GY4">
        <v>261800</v>
      </c>
      <c r="GZ4">
        <v>262800</v>
      </c>
      <c r="HA4">
        <v>263500</v>
      </c>
      <c r="HB4">
        <v>264700</v>
      </c>
      <c r="HC4">
        <v>266200</v>
      </c>
      <c r="HD4">
        <v>267800</v>
      </c>
      <c r="HE4">
        <v>269600</v>
      </c>
      <c r="HF4">
        <v>271300</v>
      </c>
      <c r="HG4">
        <v>272200</v>
      </c>
      <c r="HH4">
        <v>272900</v>
      </c>
      <c r="HI4">
        <v>274100</v>
      </c>
      <c r="HJ4">
        <v>275600</v>
      </c>
      <c r="HK4">
        <v>277400</v>
      </c>
      <c r="HL4">
        <v>279000</v>
      </c>
      <c r="HM4">
        <v>280400</v>
      </c>
      <c r="HN4">
        <v>281500</v>
      </c>
      <c r="HO4">
        <v>281800</v>
      </c>
      <c r="HP4">
        <v>281300</v>
      </c>
      <c r="HQ4">
        <v>280900</v>
      </c>
      <c r="HR4">
        <v>281400</v>
      </c>
      <c r="HS4">
        <v>282600</v>
      </c>
      <c r="HT4">
        <v>283800</v>
      </c>
    </row>
    <row r="5" spans="1:228" x14ac:dyDescent="0.3">
      <c r="A5">
        <v>14</v>
      </c>
      <c r="B5" t="s">
        <v>231</v>
      </c>
      <c r="C5">
        <v>4</v>
      </c>
      <c r="D5">
        <v>99600</v>
      </c>
      <c r="E5">
        <v>100100</v>
      </c>
      <c r="F5">
        <v>100600</v>
      </c>
      <c r="G5">
        <v>101100</v>
      </c>
      <c r="H5">
        <v>101800</v>
      </c>
      <c r="I5">
        <v>102500</v>
      </c>
      <c r="J5">
        <v>103200</v>
      </c>
      <c r="K5">
        <v>104100</v>
      </c>
      <c r="L5">
        <v>105000</v>
      </c>
      <c r="M5">
        <v>106000</v>
      </c>
      <c r="N5">
        <v>106900</v>
      </c>
      <c r="O5">
        <v>108000</v>
      </c>
      <c r="P5">
        <v>109100</v>
      </c>
      <c r="Q5">
        <v>110300</v>
      </c>
      <c r="R5">
        <v>111400</v>
      </c>
      <c r="S5">
        <v>112600</v>
      </c>
      <c r="T5">
        <v>113800</v>
      </c>
      <c r="U5">
        <v>115000</v>
      </c>
      <c r="V5">
        <v>116100</v>
      </c>
      <c r="W5">
        <v>117200</v>
      </c>
      <c r="X5">
        <v>118400</v>
      </c>
      <c r="Y5">
        <v>119500</v>
      </c>
      <c r="Z5">
        <v>120600</v>
      </c>
      <c r="AA5">
        <v>121700</v>
      </c>
      <c r="AB5">
        <v>122700</v>
      </c>
      <c r="AC5">
        <v>123600</v>
      </c>
      <c r="AD5">
        <v>124600</v>
      </c>
      <c r="AE5">
        <v>125400</v>
      </c>
      <c r="AF5">
        <v>126300</v>
      </c>
      <c r="AG5">
        <v>127200</v>
      </c>
      <c r="AH5">
        <v>128000</v>
      </c>
      <c r="AI5">
        <v>128900</v>
      </c>
      <c r="AJ5">
        <v>129800</v>
      </c>
      <c r="AK5">
        <v>130800</v>
      </c>
      <c r="AL5">
        <v>131900</v>
      </c>
      <c r="AM5">
        <v>133100</v>
      </c>
      <c r="AN5">
        <v>134300</v>
      </c>
      <c r="AO5">
        <v>135600</v>
      </c>
      <c r="AP5">
        <v>137000</v>
      </c>
      <c r="AQ5">
        <v>138400</v>
      </c>
      <c r="AR5">
        <v>139900</v>
      </c>
      <c r="AS5">
        <v>141300</v>
      </c>
      <c r="AT5">
        <v>142700</v>
      </c>
      <c r="AU5">
        <v>144100</v>
      </c>
      <c r="AV5">
        <v>145700</v>
      </c>
      <c r="AW5">
        <v>147300</v>
      </c>
      <c r="AX5">
        <v>148900</v>
      </c>
      <c r="AY5">
        <v>150700</v>
      </c>
      <c r="AZ5">
        <v>152500</v>
      </c>
      <c r="BA5">
        <v>154500</v>
      </c>
      <c r="BB5">
        <v>156500</v>
      </c>
      <c r="BC5">
        <v>158800</v>
      </c>
      <c r="BD5">
        <v>161300</v>
      </c>
      <c r="BE5">
        <v>164000</v>
      </c>
      <c r="BF5">
        <v>167100</v>
      </c>
      <c r="BG5">
        <v>170300</v>
      </c>
      <c r="BH5">
        <v>173700</v>
      </c>
      <c r="BI5">
        <v>177100</v>
      </c>
      <c r="BJ5">
        <v>180500</v>
      </c>
      <c r="BK5">
        <v>184200</v>
      </c>
      <c r="BL5">
        <v>188000</v>
      </c>
      <c r="BM5">
        <v>192100</v>
      </c>
      <c r="BN5">
        <v>196600</v>
      </c>
      <c r="BO5">
        <v>201500</v>
      </c>
      <c r="BP5">
        <v>206600</v>
      </c>
      <c r="BQ5">
        <v>211800</v>
      </c>
      <c r="BR5">
        <v>217100</v>
      </c>
      <c r="BS5">
        <v>222300</v>
      </c>
      <c r="BT5">
        <v>227200</v>
      </c>
      <c r="BU5">
        <v>231800</v>
      </c>
      <c r="BV5">
        <v>236000</v>
      </c>
      <c r="BW5">
        <v>240000</v>
      </c>
      <c r="BX5">
        <v>243700</v>
      </c>
      <c r="BY5">
        <v>247000</v>
      </c>
      <c r="BZ5">
        <v>250200</v>
      </c>
      <c r="CA5">
        <v>253300</v>
      </c>
      <c r="CB5">
        <v>255700</v>
      </c>
      <c r="CC5">
        <v>257600</v>
      </c>
      <c r="CD5">
        <v>258700</v>
      </c>
      <c r="CE5">
        <v>258900</v>
      </c>
      <c r="CF5">
        <v>258500</v>
      </c>
      <c r="CG5">
        <v>257700</v>
      </c>
      <c r="CH5">
        <v>256400</v>
      </c>
      <c r="CI5">
        <v>254900</v>
      </c>
      <c r="CJ5">
        <v>253400</v>
      </c>
      <c r="CK5">
        <v>251700</v>
      </c>
      <c r="CL5">
        <v>249800</v>
      </c>
      <c r="CM5">
        <v>247700</v>
      </c>
      <c r="CN5">
        <v>245300</v>
      </c>
      <c r="CO5">
        <v>242500</v>
      </c>
      <c r="CP5">
        <v>239400</v>
      </c>
      <c r="CQ5">
        <v>236000</v>
      </c>
      <c r="CR5">
        <v>232400</v>
      </c>
      <c r="CS5">
        <v>228800</v>
      </c>
      <c r="CT5">
        <v>225100</v>
      </c>
      <c r="CU5">
        <v>221300</v>
      </c>
      <c r="CV5">
        <v>217400</v>
      </c>
      <c r="CW5">
        <v>213400</v>
      </c>
      <c r="CX5">
        <v>209300</v>
      </c>
      <c r="CY5">
        <v>205200</v>
      </c>
      <c r="CZ5">
        <v>201200</v>
      </c>
      <c r="DA5">
        <v>197200</v>
      </c>
      <c r="DB5">
        <v>193100</v>
      </c>
      <c r="DC5">
        <v>189200</v>
      </c>
      <c r="DD5">
        <v>185300</v>
      </c>
      <c r="DE5">
        <v>181400</v>
      </c>
      <c r="DF5">
        <v>177600</v>
      </c>
      <c r="DG5">
        <v>173900</v>
      </c>
      <c r="DH5">
        <v>170300</v>
      </c>
      <c r="DI5">
        <v>166600</v>
      </c>
      <c r="DJ5">
        <v>162800</v>
      </c>
      <c r="DK5">
        <v>159000</v>
      </c>
      <c r="DL5">
        <v>155100</v>
      </c>
      <c r="DM5">
        <v>151400</v>
      </c>
      <c r="DN5">
        <v>148600</v>
      </c>
      <c r="DO5">
        <v>146600</v>
      </c>
      <c r="DP5">
        <v>145100</v>
      </c>
      <c r="DQ5">
        <v>144000</v>
      </c>
      <c r="DR5">
        <v>143200</v>
      </c>
      <c r="DS5">
        <v>142800</v>
      </c>
      <c r="DT5">
        <v>142600</v>
      </c>
      <c r="DU5">
        <v>142600</v>
      </c>
      <c r="DV5">
        <v>141800</v>
      </c>
      <c r="DW5">
        <v>140400</v>
      </c>
      <c r="DX5">
        <v>139400</v>
      </c>
      <c r="DY5">
        <v>138800</v>
      </c>
      <c r="DZ5">
        <v>137600</v>
      </c>
      <c r="EA5">
        <v>136100</v>
      </c>
      <c r="EB5">
        <v>134500</v>
      </c>
      <c r="EC5">
        <v>133100</v>
      </c>
      <c r="ED5">
        <v>131900</v>
      </c>
      <c r="EE5">
        <v>130500</v>
      </c>
      <c r="EF5">
        <v>129000</v>
      </c>
      <c r="EG5">
        <v>127700</v>
      </c>
      <c r="EH5">
        <v>126900</v>
      </c>
      <c r="EI5">
        <v>126300</v>
      </c>
      <c r="EJ5">
        <v>125800</v>
      </c>
      <c r="EK5">
        <v>125100</v>
      </c>
      <c r="EL5">
        <v>124600</v>
      </c>
      <c r="EM5">
        <v>124400</v>
      </c>
      <c r="EN5">
        <v>124100</v>
      </c>
      <c r="EO5">
        <v>123900</v>
      </c>
      <c r="EP5">
        <v>123700</v>
      </c>
      <c r="EQ5">
        <v>123600</v>
      </c>
      <c r="ER5">
        <v>123600</v>
      </c>
      <c r="ES5">
        <v>123800</v>
      </c>
      <c r="ET5">
        <v>124100</v>
      </c>
      <c r="EU5">
        <v>124600</v>
      </c>
      <c r="EV5">
        <v>125200</v>
      </c>
      <c r="EW5">
        <v>125700</v>
      </c>
      <c r="EX5">
        <v>126000</v>
      </c>
      <c r="EY5">
        <v>126300</v>
      </c>
      <c r="EZ5">
        <v>126900</v>
      </c>
      <c r="FA5">
        <v>127400</v>
      </c>
      <c r="FB5">
        <v>127900</v>
      </c>
      <c r="FC5">
        <v>128700</v>
      </c>
      <c r="FD5">
        <v>129500</v>
      </c>
      <c r="FE5">
        <v>130400</v>
      </c>
      <c r="FF5">
        <v>131500</v>
      </c>
      <c r="FG5">
        <v>132700</v>
      </c>
      <c r="FH5">
        <v>134000</v>
      </c>
      <c r="FI5">
        <v>135600</v>
      </c>
      <c r="FJ5">
        <v>137300</v>
      </c>
      <c r="FK5">
        <v>138900</v>
      </c>
      <c r="FL5">
        <v>140400</v>
      </c>
      <c r="FM5">
        <v>142000</v>
      </c>
      <c r="FN5">
        <v>143500</v>
      </c>
      <c r="FO5">
        <v>144700</v>
      </c>
      <c r="FP5">
        <v>145600</v>
      </c>
      <c r="FQ5">
        <v>146600</v>
      </c>
      <c r="FR5">
        <v>147800</v>
      </c>
      <c r="FS5">
        <v>149200</v>
      </c>
      <c r="FT5">
        <v>150400</v>
      </c>
      <c r="FU5">
        <v>151500</v>
      </c>
      <c r="FV5">
        <v>152700</v>
      </c>
      <c r="FW5">
        <v>154000</v>
      </c>
      <c r="FX5">
        <v>155000</v>
      </c>
      <c r="FY5">
        <v>155800</v>
      </c>
      <c r="FZ5">
        <v>156800</v>
      </c>
      <c r="GA5">
        <v>158000</v>
      </c>
      <c r="GB5">
        <v>159000</v>
      </c>
      <c r="GC5">
        <v>160100</v>
      </c>
      <c r="GD5">
        <v>161400</v>
      </c>
      <c r="GE5">
        <v>162700</v>
      </c>
      <c r="GF5">
        <v>164100</v>
      </c>
      <c r="GG5">
        <v>165300</v>
      </c>
      <c r="GH5">
        <v>166700</v>
      </c>
      <c r="GI5">
        <v>168100</v>
      </c>
      <c r="GJ5">
        <v>169600</v>
      </c>
      <c r="GK5">
        <v>171100</v>
      </c>
      <c r="GL5">
        <v>172400</v>
      </c>
      <c r="GM5">
        <v>173700</v>
      </c>
      <c r="GN5">
        <v>175200</v>
      </c>
      <c r="GO5">
        <v>176600</v>
      </c>
      <c r="GP5">
        <v>178100</v>
      </c>
      <c r="GQ5">
        <v>179800</v>
      </c>
      <c r="GR5">
        <v>181500</v>
      </c>
      <c r="GS5">
        <v>182900</v>
      </c>
      <c r="GT5">
        <v>184600</v>
      </c>
      <c r="GU5">
        <v>186400</v>
      </c>
      <c r="GV5">
        <v>188300</v>
      </c>
      <c r="GW5">
        <v>190500</v>
      </c>
      <c r="GX5">
        <v>192900</v>
      </c>
      <c r="GY5">
        <v>195400</v>
      </c>
      <c r="GZ5">
        <v>197500</v>
      </c>
      <c r="HA5">
        <v>199200</v>
      </c>
      <c r="HB5">
        <v>200600</v>
      </c>
      <c r="HC5">
        <v>202300</v>
      </c>
      <c r="HD5">
        <v>204000</v>
      </c>
      <c r="HE5">
        <v>205400</v>
      </c>
      <c r="HF5">
        <v>206900</v>
      </c>
      <c r="HG5">
        <v>208400</v>
      </c>
      <c r="HH5">
        <v>209900</v>
      </c>
      <c r="HI5">
        <v>211500</v>
      </c>
      <c r="HJ5">
        <v>213000</v>
      </c>
      <c r="HK5">
        <v>214200</v>
      </c>
      <c r="HL5">
        <v>216100</v>
      </c>
      <c r="HM5">
        <v>218600</v>
      </c>
      <c r="HN5">
        <v>220500</v>
      </c>
      <c r="HO5">
        <v>221700</v>
      </c>
      <c r="HP5">
        <v>223100</v>
      </c>
      <c r="HQ5">
        <v>224700</v>
      </c>
      <c r="HR5">
        <v>225800</v>
      </c>
      <c r="HS5">
        <v>226900</v>
      </c>
      <c r="HT5">
        <v>227800</v>
      </c>
    </row>
    <row r="6" spans="1:228" x14ac:dyDescent="0.3">
      <c r="A6">
        <v>21</v>
      </c>
      <c r="B6" t="s">
        <v>232</v>
      </c>
      <c r="C6">
        <v>5</v>
      </c>
      <c r="D6">
        <v>129100</v>
      </c>
      <c r="E6">
        <v>130200</v>
      </c>
      <c r="F6">
        <v>131200</v>
      </c>
      <c r="G6">
        <v>132100</v>
      </c>
      <c r="H6">
        <v>133000</v>
      </c>
      <c r="I6">
        <v>133800</v>
      </c>
      <c r="J6">
        <v>134700</v>
      </c>
      <c r="K6">
        <v>135500</v>
      </c>
      <c r="L6">
        <v>136300</v>
      </c>
      <c r="M6">
        <v>137100</v>
      </c>
      <c r="N6">
        <v>137800</v>
      </c>
      <c r="O6">
        <v>138600</v>
      </c>
      <c r="P6">
        <v>139400</v>
      </c>
      <c r="Q6">
        <v>140100</v>
      </c>
      <c r="R6">
        <v>140800</v>
      </c>
      <c r="S6">
        <v>141400</v>
      </c>
      <c r="T6">
        <v>142100</v>
      </c>
      <c r="U6">
        <v>142800</v>
      </c>
      <c r="V6">
        <v>143600</v>
      </c>
      <c r="W6">
        <v>144500</v>
      </c>
      <c r="X6">
        <v>145400</v>
      </c>
      <c r="Y6">
        <v>146500</v>
      </c>
      <c r="Z6">
        <v>147600</v>
      </c>
      <c r="AA6">
        <v>148700</v>
      </c>
      <c r="AB6">
        <v>149700</v>
      </c>
      <c r="AC6">
        <v>150700</v>
      </c>
      <c r="AD6">
        <v>151700</v>
      </c>
      <c r="AE6">
        <v>152700</v>
      </c>
      <c r="AF6">
        <v>153600</v>
      </c>
      <c r="AG6">
        <v>154400</v>
      </c>
      <c r="AH6">
        <v>155200</v>
      </c>
      <c r="AI6">
        <v>155900</v>
      </c>
      <c r="AJ6">
        <v>156700</v>
      </c>
      <c r="AK6">
        <v>157300</v>
      </c>
      <c r="AL6">
        <v>157900</v>
      </c>
      <c r="AM6">
        <v>158400</v>
      </c>
      <c r="AN6">
        <v>158900</v>
      </c>
      <c r="AO6">
        <v>159400</v>
      </c>
      <c r="AP6">
        <v>160000</v>
      </c>
      <c r="AQ6">
        <v>160600</v>
      </c>
      <c r="AR6">
        <v>161400</v>
      </c>
      <c r="AS6">
        <v>162200</v>
      </c>
      <c r="AT6">
        <v>163100</v>
      </c>
      <c r="AU6">
        <v>164000</v>
      </c>
      <c r="AV6">
        <v>165000</v>
      </c>
      <c r="AW6">
        <v>165900</v>
      </c>
      <c r="AX6">
        <v>166800</v>
      </c>
      <c r="AY6">
        <v>167700</v>
      </c>
      <c r="AZ6">
        <v>168800</v>
      </c>
      <c r="BA6">
        <v>169800</v>
      </c>
      <c r="BB6">
        <v>170900</v>
      </c>
      <c r="BC6">
        <v>172100</v>
      </c>
      <c r="BD6">
        <v>173300</v>
      </c>
      <c r="BE6">
        <v>174400</v>
      </c>
      <c r="BF6">
        <v>175500</v>
      </c>
      <c r="BG6">
        <v>176500</v>
      </c>
      <c r="BH6">
        <v>177500</v>
      </c>
      <c r="BI6">
        <v>178600</v>
      </c>
      <c r="BJ6">
        <v>179600</v>
      </c>
      <c r="BK6">
        <v>180600</v>
      </c>
      <c r="BL6">
        <v>181500</v>
      </c>
      <c r="BM6">
        <v>182300</v>
      </c>
      <c r="BN6">
        <v>183100</v>
      </c>
      <c r="BO6">
        <v>184100</v>
      </c>
      <c r="BP6">
        <v>185200</v>
      </c>
      <c r="BQ6">
        <v>186300</v>
      </c>
      <c r="BR6">
        <v>187600</v>
      </c>
      <c r="BS6">
        <v>189100</v>
      </c>
      <c r="BT6">
        <v>190600</v>
      </c>
      <c r="BU6">
        <v>192000</v>
      </c>
      <c r="BV6">
        <v>193300</v>
      </c>
      <c r="BW6">
        <v>194600</v>
      </c>
      <c r="BX6">
        <v>195700</v>
      </c>
      <c r="BY6">
        <v>196600</v>
      </c>
      <c r="BZ6">
        <v>197700</v>
      </c>
      <c r="CA6">
        <v>198700</v>
      </c>
      <c r="CB6">
        <v>199500</v>
      </c>
      <c r="CC6">
        <v>200200</v>
      </c>
      <c r="CD6">
        <v>200900</v>
      </c>
      <c r="CE6">
        <v>201400</v>
      </c>
      <c r="CF6">
        <v>202000</v>
      </c>
      <c r="CG6">
        <v>202400</v>
      </c>
      <c r="CH6">
        <v>202800</v>
      </c>
      <c r="CI6">
        <v>203200</v>
      </c>
      <c r="CJ6">
        <v>203600</v>
      </c>
      <c r="CK6">
        <v>203700</v>
      </c>
      <c r="CL6">
        <v>203900</v>
      </c>
      <c r="CM6">
        <v>203900</v>
      </c>
      <c r="CN6">
        <v>203600</v>
      </c>
      <c r="CO6">
        <v>203100</v>
      </c>
      <c r="CP6">
        <v>202700</v>
      </c>
      <c r="CQ6">
        <v>202200</v>
      </c>
      <c r="CR6">
        <v>201700</v>
      </c>
      <c r="CS6">
        <v>201100</v>
      </c>
      <c r="CT6">
        <v>200300</v>
      </c>
      <c r="CU6">
        <v>199300</v>
      </c>
      <c r="CV6">
        <v>198200</v>
      </c>
      <c r="CW6">
        <v>196900</v>
      </c>
      <c r="CX6">
        <v>195600</v>
      </c>
      <c r="CY6">
        <v>194400</v>
      </c>
      <c r="CZ6">
        <v>193000</v>
      </c>
      <c r="DA6">
        <v>191500</v>
      </c>
      <c r="DB6">
        <v>189900</v>
      </c>
      <c r="DC6">
        <v>188000</v>
      </c>
      <c r="DD6">
        <v>186200</v>
      </c>
      <c r="DE6">
        <v>184500</v>
      </c>
      <c r="DF6">
        <v>182800</v>
      </c>
      <c r="DG6">
        <v>181200</v>
      </c>
      <c r="DH6">
        <v>179600</v>
      </c>
      <c r="DI6">
        <v>177900</v>
      </c>
      <c r="DJ6">
        <v>176200</v>
      </c>
      <c r="DK6">
        <v>174400</v>
      </c>
      <c r="DL6">
        <v>172200</v>
      </c>
      <c r="DM6">
        <v>170000</v>
      </c>
      <c r="DN6">
        <v>168000</v>
      </c>
      <c r="DO6">
        <v>166300</v>
      </c>
      <c r="DP6">
        <v>164800</v>
      </c>
      <c r="DQ6">
        <v>163800</v>
      </c>
      <c r="DR6">
        <v>163000</v>
      </c>
      <c r="DS6">
        <v>162600</v>
      </c>
      <c r="DT6">
        <v>162500</v>
      </c>
      <c r="DU6">
        <v>162800</v>
      </c>
      <c r="DV6">
        <v>161900</v>
      </c>
      <c r="DW6">
        <v>160000</v>
      </c>
      <c r="DX6">
        <v>158900</v>
      </c>
      <c r="DY6">
        <v>158400</v>
      </c>
      <c r="DZ6">
        <v>157500</v>
      </c>
      <c r="EA6">
        <v>156200</v>
      </c>
      <c r="EB6">
        <v>154800</v>
      </c>
      <c r="EC6">
        <v>153400</v>
      </c>
      <c r="ED6">
        <v>151900</v>
      </c>
      <c r="EE6">
        <v>150200</v>
      </c>
      <c r="EF6">
        <v>148800</v>
      </c>
      <c r="EG6">
        <v>147700</v>
      </c>
      <c r="EH6">
        <v>146800</v>
      </c>
      <c r="EI6">
        <v>145800</v>
      </c>
      <c r="EJ6">
        <v>144500</v>
      </c>
      <c r="EK6">
        <v>142800</v>
      </c>
      <c r="EL6">
        <v>141500</v>
      </c>
      <c r="EM6">
        <v>140700</v>
      </c>
      <c r="EN6">
        <v>140000</v>
      </c>
      <c r="EO6">
        <v>138900</v>
      </c>
      <c r="EP6">
        <v>137700</v>
      </c>
      <c r="EQ6">
        <v>136800</v>
      </c>
      <c r="ER6">
        <v>135800</v>
      </c>
      <c r="ES6">
        <v>134500</v>
      </c>
      <c r="ET6">
        <v>133700</v>
      </c>
      <c r="EU6">
        <v>133700</v>
      </c>
      <c r="EV6">
        <v>134000</v>
      </c>
      <c r="EW6">
        <v>134400</v>
      </c>
      <c r="EX6">
        <v>134400</v>
      </c>
      <c r="EY6">
        <v>134200</v>
      </c>
      <c r="EZ6">
        <v>134100</v>
      </c>
      <c r="FA6">
        <v>134200</v>
      </c>
      <c r="FB6">
        <v>134600</v>
      </c>
      <c r="FC6">
        <v>135100</v>
      </c>
      <c r="FD6">
        <v>135300</v>
      </c>
      <c r="FE6">
        <v>135600</v>
      </c>
      <c r="FF6">
        <v>136100</v>
      </c>
      <c r="FG6">
        <v>136400</v>
      </c>
      <c r="FH6">
        <v>136900</v>
      </c>
      <c r="FI6">
        <v>137600</v>
      </c>
      <c r="FJ6">
        <v>138700</v>
      </c>
      <c r="FK6">
        <v>139700</v>
      </c>
      <c r="FL6">
        <v>140500</v>
      </c>
      <c r="FM6">
        <v>141200</v>
      </c>
      <c r="FN6">
        <v>141600</v>
      </c>
      <c r="FO6">
        <v>141800</v>
      </c>
      <c r="FP6">
        <v>142100</v>
      </c>
      <c r="FQ6">
        <v>142500</v>
      </c>
      <c r="FR6">
        <v>143100</v>
      </c>
      <c r="FS6">
        <v>143800</v>
      </c>
      <c r="FT6">
        <v>144700</v>
      </c>
      <c r="FU6">
        <v>145800</v>
      </c>
      <c r="FV6">
        <v>146800</v>
      </c>
      <c r="FW6">
        <v>147500</v>
      </c>
      <c r="FX6">
        <v>148100</v>
      </c>
      <c r="FY6">
        <v>148500</v>
      </c>
      <c r="FZ6">
        <v>148800</v>
      </c>
      <c r="GA6">
        <v>149100</v>
      </c>
      <c r="GB6">
        <v>149400</v>
      </c>
      <c r="GC6">
        <v>149700</v>
      </c>
      <c r="GD6">
        <v>150400</v>
      </c>
      <c r="GE6">
        <v>151400</v>
      </c>
      <c r="GF6">
        <v>152000</v>
      </c>
      <c r="GG6">
        <v>152600</v>
      </c>
      <c r="GH6">
        <v>153100</v>
      </c>
      <c r="GI6">
        <v>153700</v>
      </c>
      <c r="GJ6">
        <v>154000</v>
      </c>
      <c r="GK6">
        <v>154700</v>
      </c>
      <c r="GL6">
        <v>155300</v>
      </c>
      <c r="GM6">
        <v>155800</v>
      </c>
      <c r="GN6">
        <v>156000</v>
      </c>
      <c r="GO6">
        <v>156400</v>
      </c>
      <c r="GP6">
        <v>156900</v>
      </c>
      <c r="GQ6">
        <v>157800</v>
      </c>
      <c r="GR6">
        <v>158600</v>
      </c>
      <c r="GS6">
        <v>159000</v>
      </c>
      <c r="GT6">
        <v>159400</v>
      </c>
      <c r="GU6">
        <v>160200</v>
      </c>
      <c r="GV6">
        <v>160900</v>
      </c>
      <c r="GW6">
        <v>161600</v>
      </c>
      <c r="GX6">
        <v>162200</v>
      </c>
      <c r="GY6">
        <v>163000</v>
      </c>
      <c r="GZ6">
        <v>163600</v>
      </c>
      <c r="HA6">
        <v>164100</v>
      </c>
      <c r="HB6">
        <v>164800</v>
      </c>
      <c r="HC6">
        <v>165500</v>
      </c>
      <c r="HD6">
        <v>166100</v>
      </c>
      <c r="HE6">
        <v>166600</v>
      </c>
      <c r="HF6">
        <v>167300</v>
      </c>
      <c r="HG6">
        <v>167800</v>
      </c>
      <c r="HH6">
        <v>168500</v>
      </c>
      <c r="HI6">
        <v>169400</v>
      </c>
      <c r="HJ6">
        <v>170300</v>
      </c>
      <c r="HK6">
        <v>171200</v>
      </c>
      <c r="HL6">
        <v>172400</v>
      </c>
      <c r="HM6">
        <v>173600</v>
      </c>
      <c r="HN6">
        <v>174100</v>
      </c>
      <c r="HO6">
        <v>174400</v>
      </c>
      <c r="HP6">
        <v>175000</v>
      </c>
      <c r="HQ6">
        <v>175400</v>
      </c>
      <c r="HR6">
        <v>175700</v>
      </c>
      <c r="HS6">
        <v>176100</v>
      </c>
      <c r="HT6">
        <v>176800</v>
      </c>
    </row>
    <row r="7" spans="1:228" x14ac:dyDescent="0.3">
      <c r="A7">
        <v>47</v>
      </c>
      <c r="B7" t="s">
        <v>233</v>
      </c>
      <c r="C7">
        <v>6</v>
      </c>
      <c r="D7">
        <v>90100</v>
      </c>
      <c r="E7">
        <v>90400</v>
      </c>
      <c r="F7">
        <v>90600</v>
      </c>
      <c r="G7">
        <v>90800</v>
      </c>
      <c r="H7">
        <v>91000</v>
      </c>
      <c r="I7">
        <v>91200</v>
      </c>
      <c r="J7">
        <v>91400</v>
      </c>
      <c r="K7">
        <v>91500</v>
      </c>
      <c r="L7">
        <v>91700</v>
      </c>
      <c r="M7">
        <v>92000</v>
      </c>
      <c r="N7">
        <v>92500</v>
      </c>
      <c r="O7">
        <v>93100</v>
      </c>
      <c r="P7">
        <v>93700</v>
      </c>
      <c r="Q7">
        <v>94500</v>
      </c>
      <c r="R7">
        <v>95200</v>
      </c>
      <c r="S7">
        <v>96000</v>
      </c>
      <c r="T7">
        <v>96600</v>
      </c>
      <c r="U7">
        <v>97300</v>
      </c>
      <c r="V7">
        <v>98000</v>
      </c>
      <c r="W7">
        <v>98700</v>
      </c>
      <c r="X7">
        <v>99400</v>
      </c>
      <c r="Y7">
        <v>100000</v>
      </c>
      <c r="Z7">
        <v>100700</v>
      </c>
      <c r="AA7">
        <v>101400</v>
      </c>
      <c r="AB7">
        <v>102000</v>
      </c>
      <c r="AC7">
        <v>102600</v>
      </c>
      <c r="AD7">
        <v>103200</v>
      </c>
      <c r="AE7">
        <v>103800</v>
      </c>
      <c r="AF7">
        <v>104400</v>
      </c>
      <c r="AG7">
        <v>105000</v>
      </c>
      <c r="AH7">
        <v>105600</v>
      </c>
      <c r="AI7">
        <v>106300</v>
      </c>
      <c r="AJ7">
        <v>107000</v>
      </c>
      <c r="AK7">
        <v>107700</v>
      </c>
      <c r="AL7">
        <v>108500</v>
      </c>
      <c r="AM7">
        <v>109300</v>
      </c>
      <c r="AN7">
        <v>110200</v>
      </c>
      <c r="AO7">
        <v>111000</v>
      </c>
      <c r="AP7">
        <v>112000</v>
      </c>
      <c r="AQ7">
        <v>113000</v>
      </c>
      <c r="AR7">
        <v>114100</v>
      </c>
      <c r="AS7">
        <v>115200</v>
      </c>
      <c r="AT7">
        <v>116200</v>
      </c>
      <c r="AU7">
        <v>117300</v>
      </c>
      <c r="AV7">
        <v>118400</v>
      </c>
      <c r="AW7">
        <v>119400</v>
      </c>
      <c r="AX7">
        <v>120200</v>
      </c>
      <c r="AY7">
        <v>121100</v>
      </c>
      <c r="AZ7">
        <v>122000</v>
      </c>
      <c r="BA7">
        <v>123000</v>
      </c>
      <c r="BB7">
        <v>123900</v>
      </c>
      <c r="BC7">
        <v>125000</v>
      </c>
      <c r="BD7">
        <v>126100</v>
      </c>
      <c r="BE7">
        <v>127300</v>
      </c>
      <c r="BF7">
        <v>128500</v>
      </c>
      <c r="BG7">
        <v>129600</v>
      </c>
      <c r="BH7">
        <v>130800</v>
      </c>
      <c r="BI7">
        <v>131900</v>
      </c>
      <c r="BJ7">
        <v>133000</v>
      </c>
      <c r="BK7">
        <v>134000</v>
      </c>
      <c r="BL7">
        <v>134900</v>
      </c>
      <c r="BM7">
        <v>135800</v>
      </c>
      <c r="BN7">
        <v>136700</v>
      </c>
      <c r="BO7">
        <v>137600</v>
      </c>
      <c r="BP7">
        <v>138600</v>
      </c>
      <c r="BQ7">
        <v>139700</v>
      </c>
      <c r="BR7">
        <v>140900</v>
      </c>
      <c r="BS7">
        <v>142200</v>
      </c>
      <c r="BT7">
        <v>143400</v>
      </c>
      <c r="BU7">
        <v>144500</v>
      </c>
      <c r="BV7">
        <v>145600</v>
      </c>
      <c r="BW7">
        <v>146600</v>
      </c>
      <c r="BX7">
        <v>147600</v>
      </c>
      <c r="BY7">
        <v>148500</v>
      </c>
      <c r="BZ7">
        <v>149300</v>
      </c>
      <c r="CA7">
        <v>150200</v>
      </c>
      <c r="CB7">
        <v>151100</v>
      </c>
      <c r="CC7">
        <v>151900</v>
      </c>
      <c r="CD7">
        <v>152600</v>
      </c>
      <c r="CE7">
        <v>153300</v>
      </c>
      <c r="CF7">
        <v>153700</v>
      </c>
      <c r="CG7">
        <v>154200</v>
      </c>
      <c r="CH7">
        <v>154500</v>
      </c>
      <c r="CI7">
        <v>155000</v>
      </c>
      <c r="CJ7">
        <v>155400</v>
      </c>
      <c r="CK7">
        <v>155900</v>
      </c>
      <c r="CL7">
        <v>156300</v>
      </c>
      <c r="CM7">
        <v>156600</v>
      </c>
      <c r="CN7">
        <v>156900</v>
      </c>
      <c r="CO7">
        <v>157000</v>
      </c>
      <c r="CP7">
        <v>157100</v>
      </c>
      <c r="CQ7">
        <v>157200</v>
      </c>
      <c r="CR7">
        <v>157100</v>
      </c>
      <c r="CS7">
        <v>157100</v>
      </c>
      <c r="CT7">
        <v>157000</v>
      </c>
      <c r="CU7">
        <v>156900</v>
      </c>
      <c r="CV7">
        <v>156800</v>
      </c>
      <c r="CW7">
        <v>156500</v>
      </c>
      <c r="CX7">
        <v>156300</v>
      </c>
      <c r="CY7">
        <v>156000</v>
      </c>
      <c r="CZ7">
        <v>155500</v>
      </c>
      <c r="DA7">
        <v>155000</v>
      </c>
      <c r="DB7">
        <v>154500</v>
      </c>
      <c r="DC7">
        <v>154000</v>
      </c>
      <c r="DD7">
        <v>153600</v>
      </c>
      <c r="DE7">
        <v>153200</v>
      </c>
      <c r="DF7">
        <v>152800</v>
      </c>
      <c r="DG7">
        <v>152500</v>
      </c>
      <c r="DH7">
        <v>152300</v>
      </c>
      <c r="DI7">
        <v>152100</v>
      </c>
      <c r="DJ7">
        <v>151800</v>
      </c>
      <c r="DK7">
        <v>151600</v>
      </c>
      <c r="DL7">
        <v>151200</v>
      </c>
      <c r="DM7">
        <v>150700</v>
      </c>
      <c r="DN7">
        <v>150300</v>
      </c>
      <c r="DO7">
        <v>150100</v>
      </c>
      <c r="DP7">
        <v>149900</v>
      </c>
      <c r="DQ7">
        <v>149800</v>
      </c>
      <c r="DR7">
        <v>149800</v>
      </c>
      <c r="DS7">
        <v>149900</v>
      </c>
      <c r="DT7">
        <v>150100</v>
      </c>
      <c r="DU7">
        <v>150200</v>
      </c>
      <c r="DV7">
        <v>150100</v>
      </c>
      <c r="DW7">
        <v>149800</v>
      </c>
      <c r="DX7">
        <v>149800</v>
      </c>
      <c r="DY7">
        <v>149800</v>
      </c>
      <c r="DZ7">
        <v>149400</v>
      </c>
      <c r="EA7">
        <v>148800</v>
      </c>
      <c r="EB7">
        <v>148100</v>
      </c>
      <c r="EC7">
        <v>147500</v>
      </c>
      <c r="ED7">
        <v>146900</v>
      </c>
      <c r="EE7">
        <v>146200</v>
      </c>
      <c r="EF7">
        <v>145400</v>
      </c>
      <c r="EG7">
        <v>144800</v>
      </c>
      <c r="EH7">
        <v>144300</v>
      </c>
      <c r="EI7">
        <v>143700</v>
      </c>
      <c r="EJ7">
        <v>143100</v>
      </c>
      <c r="EK7">
        <v>142400</v>
      </c>
      <c r="EL7">
        <v>141800</v>
      </c>
      <c r="EM7">
        <v>141200</v>
      </c>
      <c r="EN7">
        <v>140800</v>
      </c>
      <c r="EO7">
        <v>140700</v>
      </c>
      <c r="EP7">
        <v>140500</v>
      </c>
      <c r="EQ7">
        <v>140100</v>
      </c>
      <c r="ER7">
        <v>139600</v>
      </c>
      <c r="ES7">
        <v>139200</v>
      </c>
      <c r="ET7">
        <v>139100</v>
      </c>
      <c r="EU7">
        <v>138900</v>
      </c>
      <c r="EV7">
        <v>138800</v>
      </c>
      <c r="EW7">
        <v>138600</v>
      </c>
      <c r="EX7">
        <v>138700</v>
      </c>
      <c r="EY7">
        <v>138900</v>
      </c>
      <c r="EZ7">
        <v>139200</v>
      </c>
      <c r="FA7">
        <v>139300</v>
      </c>
      <c r="FB7">
        <v>139500</v>
      </c>
      <c r="FC7">
        <v>139700</v>
      </c>
      <c r="FD7">
        <v>139900</v>
      </c>
      <c r="FE7">
        <v>140100</v>
      </c>
      <c r="FF7">
        <v>140300</v>
      </c>
      <c r="FG7">
        <v>140500</v>
      </c>
      <c r="FH7">
        <v>140800</v>
      </c>
      <c r="FI7">
        <v>140900</v>
      </c>
      <c r="FJ7">
        <v>141300</v>
      </c>
      <c r="FK7">
        <v>141600</v>
      </c>
      <c r="FL7">
        <v>141600</v>
      </c>
      <c r="FM7">
        <v>141500</v>
      </c>
      <c r="FN7">
        <v>141600</v>
      </c>
      <c r="FO7">
        <v>141900</v>
      </c>
      <c r="FP7">
        <v>142300</v>
      </c>
      <c r="FQ7">
        <v>142500</v>
      </c>
      <c r="FR7">
        <v>142600</v>
      </c>
      <c r="FS7">
        <v>142800</v>
      </c>
      <c r="FT7">
        <v>143000</v>
      </c>
      <c r="FU7">
        <v>143400</v>
      </c>
      <c r="FV7">
        <v>143600</v>
      </c>
      <c r="FW7">
        <v>143800</v>
      </c>
      <c r="FX7">
        <v>144100</v>
      </c>
      <c r="FY7">
        <v>144300</v>
      </c>
      <c r="FZ7">
        <v>144400</v>
      </c>
      <c r="GA7">
        <v>144600</v>
      </c>
      <c r="GB7">
        <v>144900</v>
      </c>
      <c r="GC7">
        <v>145100</v>
      </c>
      <c r="GD7">
        <v>145300</v>
      </c>
      <c r="GE7">
        <v>145700</v>
      </c>
      <c r="GF7">
        <v>146100</v>
      </c>
      <c r="GG7">
        <v>146400</v>
      </c>
      <c r="GH7">
        <v>146800</v>
      </c>
      <c r="GI7">
        <v>147100</v>
      </c>
      <c r="GJ7">
        <v>147400</v>
      </c>
      <c r="GK7">
        <v>147700</v>
      </c>
      <c r="GL7">
        <v>148100</v>
      </c>
      <c r="GM7">
        <v>148300</v>
      </c>
      <c r="GN7">
        <v>148600</v>
      </c>
      <c r="GO7">
        <v>149100</v>
      </c>
      <c r="GP7">
        <v>149500</v>
      </c>
      <c r="GQ7">
        <v>149800</v>
      </c>
      <c r="GR7">
        <v>150100</v>
      </c>
      <c r="GS7">
        <v>150500</v>
      </c>
      <c r="GT7">
        <v>151200</v>
      </c>
      <c r="GU7">
        <v>152000</v>
      </c>
      <c r="GV7">
        <v>152600</v>
      </c>
      <c r="GW7">
        <v>153200</v>
      </c>
      <c r="GX7">
        <v>153900</v>
      </c>
      <c r="GY7">
        <v>154500</v>
      </c>
      <c r="GZ7">
        <v>154900</v>
      </c>
      <c r="HA7">
        <v>155400</v>
      </c>
      <c r="HB7">
        <v>156000</v>
      </c>
      <c r="HC7">
        <v>156800</v>
      </c>
      <c r="HD7">
        <v>157700</v>
      </c>
      <c r="HE7">
        <v>158400</v>
      </c>
      <c r="HF7">
        <v>159000</v>
      </c>
      <c r="HG7">
        <v>159800</v>
      </c>
      <c r="HH7">
        <v>160800</v>
      </c>
      <c r="HI7">
        <v>161700</v>
      </c>
      <c r="HJ7">
        <v>162500</v>
      </c>
      <c r="HK7">
        <v>163300</v>
      </c>
      <c r="HL7">
        <v>164200</v>
      </c>
      <c r="HM7">
        <v>165400</v>
      </c>
      <c r="HN7">
        <v>166200</v>
      </c>
      <c r="HO7">
        <v>166800</v>
      </c>
      <c r="HP7">
        <v>167600</v>
      </c>
      <c r="HQ7">
        <v>168600</v>
      </c>
      <c r="HR7">
        <v>169300</v>
      </c>
      <c r="HS7">
        <v>170000</v>
      </c>
      <c r="HT7">
        <v>170500</v>
      </c>
    </row>
    <row r="8" spans="1:228" x14ac:dyDescent="0.3">
      <c r="A8">
        <v>44</v>
      </c>
      <c r="B8" t="s">
        <v>234</v>
      </c>
      <c r="C8">
        <v>7</v>
      </c>
      <c r="D8">
        <v>98700</v>
      </c>
      <c r="E8">
        <v>99300</v>
      </c>
      <c r="F8">
        <v>99800</v>
      </c>
      <c r="G8">
        <v>100300</v>
      </c>
      <c r="H8">
        <v>100600</v>
      </c>
      <c r="I8">
        <v>101000</v>
      </c>
      <c r="J8">
        <v>101500</v>
      </c>
      <c r="K8">
        <v>101900</v>
      </c>
      <c r="L8">
        <v>102300</v>
      </c>
      <c r="M8">
        <v>102800</v>
      </c>
      <c r="N8">
        <v>103200</v>
      </c>
      <c r="O8">
        <v>103700</v>
      </c>
      <c r="P8">
        <v>104200</v>
      </c>
      <c r="Q8">
        <v>104700</v>
      </c>
      <c r="R8">
        <v>105100</v>
      </c>
      <c r="S8">
        <v>105500</v>
      </c>
      <c r="T8">
        <v>105900</v>
      </c>
      <c r="U8">
        <v>106300</v>
      </c>
      <c r="V8">
        <v>106700</v>
      </c>
      <c r="W8">
        <v>107200</v>
      </c>
      <c r="X8">
        <v>107700</v>
      </c>
      <c r="Y8">
        <v>108100</v>
      </c>
      <c r="Z8">
        <v>108500</v>
      </c>
      <c r="AA8">
        <v>108900</v>
      </c>
      <c r="AB8">
        <v>109300</v>
      </c>
      <c r="AC8">
        <v>109700</v>
      </c>
      <c r="AD8">
        <v>110000</v>
      </c>
      <c r="AE8">
        <v>110300</v>
      </c>
      <c r="AF8">
        <v>110700</v>
      </c>
      <c r="AG8">
        <v>111100</v>
      </c>
      <c r="AH8">
        <v>111500</v>
      </c>
      <c r="AI8">
        <v>111800</v>
      </c>
      <c r="AJ8">
        <v>112200</v>
      </c>
      <c r="AK8">
        <v>112600</v>
      </c>
      <c r="AL8">
        <v>113000</v>
      </c>
      <c r="AM8">
        <v>113400</v>
      </c>
      <c r="AN8">
        <v>113900</v>
      </c>
      <c r="AO8">
        <v>114300</v>
      </c>
      <c r="AP8">
        <v>114800</v>
      </c>
      <c r="AQ8">
        <v>115300</v>
      </c>
      <c r="AR8">
        <v>115700</v>
      </c>
      <c r="AS8">
        <v>116000</v>
      </c>
      <c r="AT8">
        <v>116300</v>
      </c>
      <c r="AU8">
        <v>116600</v>
      </c>
      <c r="AV8">
        <v>117000</v>
      </c>
      <c r="AW8">
        <v>117400</v>
      </c>
      <c r="AX8">
        <v>117800</v>
      </c>
      <c r="AY8">
        <v>118100</v>
      </c>
      <c r="AZ8">
        <v>118400</v>
      </c>
      <c r="BA8">
        <v>118700</v>
      </c>
      <c r="BB8">
        <v>119100</v>
      </c>
      <c r="BC8">
        <v>119400</v>
      </c>
      <c r="BD8">
        <v>119800</v>
      </c>
      <c r="BE8">
        <v>120100</v>
      </c>
      <c r="BF8">
        <v>120400</v>
      </c>
      <c r="BG8">
        <v>120700</v>
      </c>
      <c r="BH8">
        <v>121000</v>
      </c>
      <c r="BI8">
        <v>121300</v>
      </c>
      <c r="BJ8">
        <v>121600</v>
      </c>
      <c r="BK8">
        <v>121900</v>
      </c>
      <c r="BL8">
        <v>122100</v>
      </c>
      <c r="BM8">
        <v>122300</v>
      </c>
      <c r="BN8">
        <v>122500</v>
      </c>
      <c r="BO8">
        <v>122700</v>
      </c>
      <c r="BP8">
        <v>123000</v>
      </c>
      <c r="BQ8">
        <v>123300</v>
      </c>
      <c r="BR8">
        <v>123600</v>
      </c>
      <c r="BS8">
        <v>123900</v>
      </c>
      <c r="BT8">
        <v>124100</v>
      </c>
      <c r="BU8">
        <v>124300</v>
      </c>
      <c r="BV8">
        <v>124400</v>
      </c>
      <c r="BW8">
        <v>124600</v>
      </c>
      <c r="BX8">
        <v>124700</v>
      </c>
      <c r="BY8">
        <v>124800</v>
      </c>
      <c r="BZ8">
        <v>125000</v>
      </c>
      <c r="CA8">
        <v>125100</v>
      </c>
      <c r="CB8">
        <v>125200</v>
      </c>
      <c r="CC8">
        <v>125200</v>
      </c>
      <c r="CD8">
        <v>125200</v>
      </c>
      <c r="CE8">
        <v>125100</v>
      </c>
      <c r="CF8">
        <v>125000</v>
      </c>
      <c r="CG8">
        <v>124900</v>
      </c>
      <c r="CH8">
        <v>124800</v>
      </c>
      <c r="CI8">
        <v>124600</v>
      </c>
      <c r="CJ8">
        <v>124500</v>
      </c>
      <c r="CK8">
        <v>124400</v>
      </c>
      <c r="CL8">
        <v>124200</v>
      </c>
      <c r="CM8">
        <v>124000</v>
      </c>
      <c r="CN8">
        <v>123800</v>
      </c>
      <c r="CO8">
        <v>123400</v>
      </c>
      <c r="CP8">
        <v>123000</v>
      </c>
      <c r="CQ8">
        <v>122500</v>
      </c>
      <c r="CR8">
        <v>122100</v>
      </c>
      <c r="CS8">
        <v>121600</v>
      </c>
      <c r="CT8">
        <v>121100</v>
      </c>
      <c r="CU8">
        <v>120500</v>
      </c>
      <c r="CV8">
        <v>119900</v>
      </c>
      <c r="CW8">
        <v>119300</v>
      </c>
      <c r="CX8">
        <v>118700</v>
      </c>
      <c r="CY8">
        <v>118100</v>
      </c>
      <c r="CZ8">
        <v>117400</v>
      </c>
      <c r="DA8">
        <v>116800</v>
      </c>
      <c r="DB8">
        <v>116200</v>
      </c>
      <c r="DC8">
        <v>115600</v>
      </c>
      <c r="DD8">
        <v>115100</v>
      </c>
      <c r="DE8">
        <v>114600</v>
      </c>
      <c r="DF8">
        <v>114300</v>
      </c>
      <c r="DG8">
        <v>113900</v>
      </c>
      <c r="DH8">
        <v>113500</v>
      </c>
      <c r="DI8">
        <v>113100</v>
      </c>
      <c r="DJ8">
        <v>112800</v>
      </c>
      <c r="DK8">
        <v>112400</v>
      </c>
      <c r="DL8">
        <v>112000</v>
      </c>
      <c r="DM8">
        <v>111400</v>
      </c>
      <c r="DN8">
        <v>111000</v>
      </c>
      <c r="DO8">
        <v>110700</v>
      </c>
      <c r="DP8">
        <v>110500</v>
      </c>
      <c r="DQ8">
        <v>110200</v>
      </c>
      <c r="DR8">
        <v>110100</v>
      </c>
      <c r="DS8">
        <v>110000</v>
      </c>
      <c r="DT8">
        <v>110000</v>
      </c>
      <c r="DU8">
        <v>110000</v>
      </c>
      <c r="DV8">
        <v>109900</v>
      </c>
      <c r="DW8">
        <v>109600</v>
      </c>
      <c r="DX8">
        <v>109500</v>
      </c>
      <c r="DY8">
        <v>109600</v>
      </c>
      <c r="DZ8">
        <v>109500</v>
      </c>
      <c r="EA8">
        <v>109300</v>
      </c>
      <c r="EB8">
        <v>109100</v>
      </c>
      <c r="EC8">
        <v>108600</v>
      </c>
      <c r="ED8">
        <v>107900</v>
      </c>
      <c r="EE8">
        <v>107200</v>
      </c>
      <c r="EF8">
        <v>106400</v>
      </c>
      <c r="EG8">
        <v>105600</v>
      </c>
      <c r="EH8">
        <v>104900</v>
      </c>
      <c r="EI8">
        <v>104500</v>
      </c>
      <c r="EJ8">
        <v>104100</v>
      </c>
      <c r="EK8">
        <v>103700</v>
      </c>
      <c r="EL8">
        <v>103300</v>
      </c>
      <c r="EM8">
        <v>103000</v>
      </c>
      <c r="EN8">
        <v>102900</v>
      </c>
      <c r="EO8">
        <v>102700</v>
      </c>
      <c r="EP8">
        <v>102400</v>
      </c>
      <c r="EQ8">
        <v>102400</v>
      </c>
      <c r="ER8">
        <v>102400</v>
      </c>
      <c r="ES8">
        <v>102400</v>
      </c>
      <c r="ET8">
        <v>102500</v>
      </c>
      <c r="EU8">
        <v>102700</v>
      </c>
      <c r="EV8">
        <v>102600</v>
      </c>
      <c r="EW8">
        <v>102400</v>
      </c>
      <c r="EX8">
        <v>102300</v>
      </c>
      <c r="EY8">
        <v>102200</v>
      </c>
      <c r="EZ8">
        <v>102100</v>
      </c>
      <c r="FA8">
        <v>102300</v>
      </c>
      <c r="FB8">
        <v>102500</v>
      </c>
      <c r="FC8">
        <v>102800</v>
      </c>
      <c r="FD8">
        <v>103200</v>
      </c>
      <c r="FE8">
        <v>103500</v>
      </c>
      <c r="FF8">
        <v>103500</v>
      </c>
      <c r="FG8">
        <v>103600</v>
      </c>
      <c r="FH8">
        <v>103900</v>
      </c>
      <c r="FI8">
        <v>104200</v>
      </c>
      <c r="FJ8">
        <v>104600</v>
      </c>
      <c r="FK8">
        <v>104900</v>
      </c>
      <c r="FL8">
        <v>105200</v>
      </c>
      <c r="FM8">
        <v>105400</v>
      </c>
      <c r="FN8">
        <v>105700</v>
      </c>
      <c r="FO8">
        <v>105900</v>
      </c>
      <c r="FP8">
        <v>106200</v>
      </c>
      <c r="FQ8">
        <v>106500</v>
      </c>
      <c r="FR8">
        <v>106800</v>
      </c>
      <c r="FS8">
        <v>107100</v>
      </c>
      <c r="FT8">
        <v>107700</v>
      </c>
      <c r="FU8">
        <v>108200</v>
      </c>
      <c r="FV8">
        <v>108600</v>
      </c>
      <c r="FW8">
        <v>108800</v>
      </c>
      <c r="FX8">
        <v>109100</v>
      </c>
      <c r="FY8">
        <v>109500</v>
      </c>
      <c r="FZ8">
        <v>110000</v>
      </c>
      <c r="GA8">
        <v>110300</v>
      </c>
      <c r="GB8">
        <v>110500</v>
      </c>
      <c r="GC8">
        <v>111000</v>
      </c>
      <c r="GD8">
        <v>111400</v>
      </c>
      <c r="GE8">
        <v>111600</v>
      </c>
      <c r="GF8">
        <v>111800</v>
      </c>
      <c r="GG8">
        <v>112300</v>
      </c>
      <c r="GH8">
        <v>112900</v>
      </c>
      <c r="GI8">
        <v>113300</v>
      </c>
      <c r="GJ8">
        <v>113500</v>
      </c>
      <c r="GK8">
        <v>113900</v>
      </c>
      <c r="GL8">
        <v>114200</v>
      </c>
      <c r="GM8">
        <v>114700</v>
      </c>
      <c r="GN8">
        <v>115200</v>
      </c>
      <c r="GO8">
        <v>115600</v>
      </c>
      <c r="GP8">
        <v>116100</v>
      </c>
      <c r="GQ8">
        <v>116600</v>
      </c>
      <c r="GR8">
        <v>117000</v>
      </c>
      <c r="GS8">
        <v>117500</v>
      </c>
      <c r="GT8">
        <v>118100</v>
      </c>
      <c r="GU8">
        <v>118700</v>
      </c>
      <c r="GV8">
        <v>119200</v>
      </c>
      <c r="GW8">
        <v>119700</v>
      </c>
      <c r="GX8">
        <v>120300</v>
      </c>
      <c r="GY8">
        <v>120900</v>
      </c>
      <c r="GZ8">
        <v>121400</v>
      </c>
      <c r="HA8">
        <v>122100</v>
      </c>
      <c r="HB8">
        <v>123000</v>
      </c>
      <c r="HC8">
        <v>124000</v>
      </c>
      <c r="HD8">
        <v>124700</v>
      </c>
      <c r="HE8">
        <v>125400</v>
      </c>
      <c r="HF8">
        <v>125900</v>
      </c>
      <c r="HG8">
        <v>126500</v>
      </c>
      <c r="HH8">
        <v>127100</v>
      </c>
      <c r="HI8">
        <v>127800</v>
      </c>
      <c r="HJ8">
        <v>128600</v>
      </c>
      <c r="HK8">
        <v>129200</v>
      </c>
      <c r="HL8">
        <v>129900</v>
      </c>
      <c r="HM8">
        <v>130400</v>
      </c>
      <c r="HN8">
        <v>131000</v>
      </c>
      <c r="HO8">
        <v>131700</v>
      </c>
      <c r="HP8">
        <v>132500</v>
      </c>
      <c r="HQ8">
        <v>133200</v>
      </c>
      <c r="HR8">
        <v>133800</v>
      </c>
      <c r="HS8">
        <v>134800</v>
      </c>
      <c r="HT8">
        <v>135800</v>
      </c>
    </row>
    <row r="9" spans="1:228" x14ac:dyDescent="0.3">
      <c r="A9">
        <v>30</v>
      </c>
      <c r="B9" t="s">
        <v>235</v>
      </c>
      <c r="C9">
        <v>8</v>
      </c>
      <c r="D9">
        <v>104800</v>
      </c>
      <c r="E9">
        <v>105500</v>
      </c>
      <c r="F9">
        <v>106200</v>
      </c>
      <c r="G9">
        <v>106900</v>
      </c>
      <c r="H9">
        <v>107700</v>
      </c>
      <c r="I9">
        <v>108400</v>
      </c>
      <c r="J9">
        <v>109100</v>
      </c>
      <c r="K9">
        <v>109700</v>
      </c>
      <c r="L9">
        <v>110400</v>
      </c>
      <c r="M9">
        <v>111100</v>
      </c>
      <c r="N9">
        <v>111700</v>
      </c>
      <c r="O9">
        <v>112300</v>
      </c>
      <c r="P9">
        <v>112700</v>
      </c>
      <c r="Q9">
        <v>113100</v>
      </c>
      <c r="R9">
        <v>113500</v>
      </c>
      <c r="S9">
        <v>114000</v>
      </c>
      <c r="T9">
        <v>114400</v>
      </c>
      <c r="U9">
        <v>114800</v>
      </c>
      <c r="V9">
        <v>115200</v>
      </c>
      <c r="W9">
        <v>115600</v>
      </c>
      <c r="X9">
        <v>115900</v>
      </c>
      <c r="Y9">
        <v>116300</v>
      </c>
      <c r="Z9">
        <v>116700</v>
      </c>
      <c r="AA9">
        <v>117100</v>
      </c>
      <c r="AB9">
        <v>117700</v>
      </c>
      <c r="AC9">
        <v>118300</v>
      </c>
      <c r="AD9">
        <v>119000</v>
      </c>
      <c r="AE9">
        <v>119600</v>
      </c>
      <c r="AF9">
        <v>120100</v>
      </c>
      <c r="AG9">
        <v>120600</v>
      </c>
      <c r="AH9">
        <v>121000</v>
      </c>
      <c r="AI9">
        <v>121400</v>
      </c>
      <c r="AJ9">
        <v>121800</v>
      </c>
      <c r="AK9">
        <v>122200</v>
      </c>
      <c r="AL9">
        <v>122700</v>
      </c>
      <c r="AM9">
        <v>123100</v>
      </c>
      <c r="AN9">
        <v>123600</v>
      </c>
      <c r="AO9">
        <v>123900</v>
      </c>
      <c r="AP9">
        <v>124000</v>
      </c>
      <c r="AQ9">
        <v>124100</v>
      </c>
      <c r="AR9">
        <v>124300</v>
      </c>
      <c r="AS9">
        <v>124600</v>
      </c>
      <c r="AT9">
        <v>125000</v>
      </c>
      <c r="AU9">
        <v>125500</v>
      </c>
      <c r="AV9">
        <v>126000</v>
      </c>
      <c r="AW9">
        <v>126500</v>
      </c>
      <c r="AX9">
        <v>126900</v>
      </c>
      <c r="AY9">
        <v>127300</v>
      </c>
      <c r="AZ9">
        <v>127700</v>
      </c>
      <c r="BA9">
        <v>128100</v>
      </c>
      <c r="BB9">
        <v>128500</v>
      </c>
      <c r="BC9">
        <v>129000</v>
      </c>
      <c r="BD9">
        <v>129600</v>
      </c>
      <c r="BE9">
        <v>130200</v>
      </c>
      <c r="BF9">
        <v>130800</v>
      </c>
      <c r="BG9">
        <v>131300</v>
      </c>
      <c r="BH9">
        <v>131800</v>
      </c>
      <c r="BI9">
        <v>132300</v>
      </c>
      <c r="BJ9">
        <v>132800</v>
      </c>
      <c r="BK9">
        <v>133400</v>
      </c>
      <c r="BL9">
        <v>133900</v>
      </c>
      <c r="BM9">
        <v>134300</v>
      </c>
      <c r="BN9">
        <v>134800</v>
      </c>
      <c r="BO9">
        <v>135300</v>
      </c>
      <c r="BP9">
        <v>135700</v>
      </c>
      <c r="BQ9">
        <v>136100</v>
      </c>
      <c r="BR9">
        <v>136400</v>
      </c>
      <c r="BS9">
        <v>136700</v>
      </c>
      <c r="BT9">
        <v>137000</v>
      </c>
      <c r="BU9">
        <v>137200</v>
      </c>
      <c r="BV9">
        <v>137300</v>
      </c>
      <c r="BW9">
        <v>137300</v>
      </c>
      <c r="BX9">
        <v>137200</v>
      </c>
      <c r="BY9">
        <v>137000</v>
      </c>
      <c r="BZ9">
        <v>136900</v>
      </c>
      <c r="CA9">
        <v>136900</v>
      </c>
      <c r="CB9">
        <v>136700</v>
      </c>
      <c r="CC9">
        <v>136400</v>
      </c>
      <c r="CD9">
        <v>136100</v>
      </c>
      <c r="CE9">
        <v>135900</v>
      </c>
      <c r="CF9">
        <v>135600</v>
      </c>
      <c r="CG9">
        <v>135300</v>
      </c>
      <c r="CH9">
        <v>134900</v>
      </c>
      <c r="CI9">
        <v>134400</v>
      </c>
      <c r="CJ9">
        <v>133900</v>
      </c>
      <c r="CK9">
        <v>133200</v>
      </c>
      <c r="CL9">
        <v>132700</v>
      </c>
      <c r="CM9">
        <v>132200</v>
      </c>
      <c r="CN9">
        <v>131400</v>
      </c>
      <c r="CO9">
        <v>130500</v>
      </c>
      <c r="CP9">
        <v>129600</v>
      </c>
      <c r="CQ9">
        <v>128600</v>
      </c>
      <c r="CR9">
        <v>127500</v>
      </c>
      <c r="CS9">
        <v>126500</v>
      </c>
      <c r="CT9">
        <v>125400</v>
      </c>
      <c r="CU9">
        <v>124200</v>
      </c>
      <c r="CV9">
        <v>123000</v>
      </c>
      <c r="CW9">
        <v>121700</v>
      </c>
      <c r="CX9">
        <v>120500</v>
      </c>
      <c r="CY9">
        <v>119300</v>
      </c>
      <c r="CZ9">
        <v>117900</v>
      </c>
      <c r="DA9">
        <v>116300</v>
      </c>
      <c r="DB9">
        <v>114800</v>
      </c>
      <c r="DC9">
        <v>113200</v>
      </c>
      <c r="DD9">
        <v>111600</v>
      </c>
      <c r="DE9">
        <v>110100</v>
      </c>
      <c r="DF9">
        <v>108600</v>
      </c>
      <c r="DG9">
        <v>107000</v>
      </c>
      <c r="DH9">
        <v>105500</v>
      </c>
      <c r="DI9">
        <v>104000</v>
      </c>
      <c r="DJ9">
        <v>102600</v>
      </c>
      <c r="DK9">
        <v>101300</v>
      </c>
      <c r="DL9">
        <v>99800</v>
      </c>
      <c r="DM9">
        <v>98100</v>
      </c>
      <c r="DN9">
        <v>96600</v>
      </c>
      <c r="DO9">
        <v>95400</v>
      </c>
      <c r="DP9">
        <v>94200</v>
      </c>
      <c r="DQ9">
        <v>93200</v>
      </c>
      <c r="DR9">
        <v>92500</v>
      </c>
      <c r="DS9">
        <v>92000</v>
      </c>
      <c r="DT9">
        <v>91800</v>
      </c>
      <c r="DU9">
        <v>91900</v>
      </c>
      <c r="DV9">
        <v>91300</v>
      </c>
      <c r="DW9">
        <v>90200</v>
      </c>
      <c r="DX9">
        <v>89500</v>
      </c>
      <c r="DY9">
        <v>89500</v>
      </c>
      <c r="DZ9">
        <v>89300</v>
      </c>
      <c r="EA9">
        <v>88900</v>
      </c>
      <c r="EB9">
        <v>88400</v>
      </c>
      <c r="EC9">
        <v>87900</v>
      </c>
      <c r="ED9">
        <v>87300</v>
      </c>
      <c r="EE9">
        <v>86600</v>
      </c>
      <c r="EF9">
        <v>85900</v>
      </c>
      <c r="EG9">
        <v>85300</v>
      </c>
      <c r="EH9">
        <v>84700</v>
      </c>
      <c r="EI9">
        <v>84300</v>
      </c>
      <c r="EJ9">
        <v>83700</v>
      </c>
      <c r="EK9">
        <v>83300</v>
      </c>
      <c r="EL9">
        <v>82800</v>
      </c>
      <c r="EM9">
        <v>82500</v>
      </c>
      <c r="EN9">
        <v>82300</v>
      </c>
      <c r="EO9">
        <v>82200</v>
      </c>
      <c r="EP9">
        <v>82000</v>
      </c>
      <c r="EQ9">
        <v>81800</v>
      </c>
      <c r="ER9">
        <v>81800</v>
      </c>
      <c r="ES9">
        <v>81800</v>
      </c>
      <c r="ET9">
        <v>82000</v>
      </c>
      <c r="EU9">
        <v>82300</v>
      </c>
      <c r="EV9">
        <v>83000</v>
      </c>
      <c r="EW9">
        <v>83700</v>
      </c>
      <c r="EX9">
        <v>84100</v>
      </c>
      <c r="EY9">
        <v>84500</v>
      </c>
      <c r="EZ9">
        <v>85100</v>
      </c>
      <c r="FA9">
        <v>85600</v>
      </c>
      <c r="FB9">
        <v>86300</v>
      </c>
      <c r="FC9">
        <v>87000</v>
      </c>
      <c r="FD9">
        <v>87700</v>
      </c>
      <c r="FE9">
        <v>88300</v>
      </c>
      <c r="FF9">
        <v>89000</v>
      </c>
      <c r="FG9">
        <v>90100</v>
      </c>
      <c r="FH9">
        <v>91000</v>
      </c>
      <c r="FI9">
        <v>91600</v>
      </c>
      <c r="FJ9">
        <v>92600</v>
      </c>
      <c r="FK9">
        <v>93600</v>
      </c>
      <c r="FL9">
        <v>94600</v>
      </c>
      <c r="FM9">
        <v>95500</v>
      </c>
      <c r="FN9">
        <v>96600</v>
      </c>
      <c r="FO9">
        <v>97500</v>
      </c>
      <c r="FP9">
        <v>98200</v>
      </c>
      <c r="FQ9">
        <v>99000</v>
      </c>
      <c r="FR9">
        <v>99900</v>
      </c>
      <c r="FS9">
        <v>100800</v>
      </c>
      <c r="FT9">
        <v>101700</v>
      </c>
      <c r="FU9">
        <v>102500</v>
      </c>
      <c r="FV9">
        <v>103200</v>
      </c>
      <c r="FW9">
        <v>104000</v>
      </c>
      <c r="FX9">
        <v>104900</v>
      </c>
      <c r="FY9">
        <v>105800</v>
      </c>
      <c r="FZ9">
        <v>106600</v>
      </c>
      <c r="GA9">
        <v>107400</v>
      </c>
      <c r="GB9">
        <v>108300</v>
      </c>
      <c r="GC9">
        <v>109100</v>
      </c>
      <c r="GD9">
        <v>109800</v>
      </c>
      <c r="GE9">
        <v>110500</v>
      </c>
      <c r="GF9">
        <v>111100</v>
      </c>
      <c r="GG9">
        <v>111900</v>
      </c>
      <c r="GH9">
        <v>112800</v>
      </c>
      <c r="GI9">
        <v>113500</v>
      </c>
      <c r="GJ9">
        <v>114000</v>
      </c>
      <c r="GK9">
        <v>114900</v>
      </c>
      <c r="GL9">
        <v>115800</v>
      </c>
      <c r="GM9">
        <v>116600</v>
      </c>
      <c r="GN9">
        <v>117200</v>
      </c>
      <c r="GO9">
        <v>117800</v>
      </c>
      <c r="GP9">
        <v>118500</v>
      </c>
      <c r="GQ9">
        <v>119600</v>
      </c>
      <c r="GR9">
        <v>120400</v>
      </c>
      <c r="GS9">
        <v>121100</v>
      </c>
      <c r="GT9">
        <v>122200</v>
      </c>
      <c r="GU9">
        <v>123400</v>
      </c>
      <c r="GV9">
        <v>124300</v>
      </c>
      <c r="GW9">
        <v>125100</v>
      </c>
      <c r="GX9">
        <v>126100</v>
      </c>
      <c r="GY9">
        <v>127000</v>
      </c>
      <c r="GZ9">
        <v>127800</v>
      </c>
      <c r="HA9">
        <v>128700</v>
      </c>
      <c r="HB9">
        <v>129900</v>
      </c>
      <c r="HC9">
        <v>130900</v>
      </c>
      <c r="HD9">
        <v>131800</v>
      </c>
      <c r="HE9">
        <v>132600</v>
      </c>
      <c r="HF9">
        <v>133300</v>
      </c>
      <c r="HG9">
        <v>133900</v>
      </c>
      <c r="HH9">
        <v>134700</v>
      </c>
      <c r="HI9">
        <v>135600</v>
      </c>
      <c r="HJ9">
        <v>136500</v>
      </c>
      <c r="HK9">
        <v>137500</v>
      </c>
      <c r="HL9">
        <v>138500</v>
      </c>
      <c r="HM9">
        <v>139500</v>
      </c>
      <c r="HN9">
        <v>140300</v>
      </c>
      <c r="HO9">
        <v>141100</v>
      </c>
      <c r="HP9">
        <v>142200</v>
      </c>
      <c r="HQ9">
        <v>143300</v>
      </c>
      <c r="HR9">
        <v>144500</v>
      </c>
      <c r="HS9">
        <v>145800</v>
      </c>
      <c r="HT9">
        <v>146600</v>
      </c>
    </row>
    <row r="10" spans="1:228" x14ac:dyDescent="0.3">
      <c r="A10">
        <v>16</v>
      </c>
      <c r="B10" t="s">
        <v>236</v>
      </c>
      <c r="C10">
        <v>9</v>
      </c>
      <c r="D10">
        <v>115000</v>
      </c>
      <c r="E10">
        <v>115800</v>
      </c>
      <c r="F10">
        <v>116600</v>
      </c>
      <c r="G10">
        <v>117400</v>
      </c>
      <c r="H10">
        <v>118200</v>
      </c>
      <c r="I10">
        <v>118900</v>
      </c>
      <c r="J10">
        <v>119700</v>
      </c>
      <c r="K10">
        <v>120500</v>
      </c>
      <c r="L10">
        <v>121200</v>
      </c>
      <c r="M10">
        <v>122000</v>
      </c>
      <c r="N10">
        <v>122800</v>
      </c>
      <c r="O10">
        <v>123700</v>
      </c>
      <c r="P10">
        <v>124600</v>
      </c>
      <c r="Q10">
        <v>125400</v>
      </c>
      <c r="R10">
        <v>126000</v>
      </c>
      <c r="S10">
        <v>126600</v>
      </c>
      <c r="T10">
        <v>127200</v>
      </c>
      <c r="U10">
        <v>127700</v>
      </c>
      <c r="V10">
        <v>128200</v>
      </c>
      <c r="W10">
        <v>128700</v>
      </c>
      <c r="X10">
        <v>129200</v>
      </c>
      <c r="Y10">
        <v>129700</v>
      </c>
      <c r="Z10">
        <v>130400</v>
      </c>
      <c r="AA10">
        <v>131100</v>
      </c>
      <c r="AB10">
        <v>131900</v>
      </c>
      <c r="AC10">
        <v>132600</v>
      </c>
      <c r="AD10">
        <v>133400</v>
      </c>
      <c r="AE10">
        <v>134100</v>
      </c>
      <c r="AF10">
        <v>134800</v>
      </c>
      <c r="AG10">
        <v>135400</v>
      </c>
      <c r="AH10">
        <v>135900</v>
      </c>
      <c r="AI10">
        <v>136300</v>
      </c>
      <c r="AJ10">
        <v>136700</v>
      </c>
      <c r="AK10">
        <v>137000</v>
      </c>
      <c r="AL10">
        <v>137400</v>
      </c>
      <c r="AM10">
        <v>137900</v>
      </c>
      <c r="AN10">
        <v>138400</v>
      </c>
      <c r="AO10">
        <v>138900</v>
      </c>
      <c r="AP10">
        <v>139300</v>
      </c>
      <c r="AQ10">
        <v>139700</v>
      </c>
      <c r="AR10">
        <v>140100</v>
      </c>
      <c r="AS10">
        <v>140400</v>
      </c>
      <c r="AT10">
        <v>140700</v>
      </c>
      <c r="AU10">
        <v>140800</v>
      </c>
      <c r="AV10">
        <v>141000</v>
      </c>
      <c r="AW10">
        <v>141200</v>
      </c>
      <c r="AX10">
        <v>141500</v>
      </c>
      <c r="AY10">
        <v>141900</v>
      </c>
      <c r="AZ10">
        <v>142600</v>
      </c>
      <c r="BA10">
        <v>143400</v>
      </c>
      <c r="BB10">
        <v>144200</v>
      </c>
      <c r="BC10">
        <v>144900</v>
      </c>
      <c r="BD10">
        <v>145400</v>
      </c>
      <c r="BE10">
        <v>145900</v>
      </c>
      <c r="BF10">
        <v>146400</v>
      </c>
      <c r="BG10">
        <v>147100</v>
      </c>
      <c r="BH10">
        <v>148000</v>
      </c>
      <c r="BI10">
        <v>148800</v>
      </c>
      <c r="BJ10">
        <v>149400</v>
      </c>
      <c r="BK10">
        <v>149600</v>
      </c>
      <c r="BL10">
        <v>149500</v>
      </c>
      <c r="BM10">
        <v>149500</v>
      </c>
      <c r="BN10">
        <v>149600</v>
      </c>
      <c r="BO10">
        <v>149900</v>
      </c>
      <c r="BP10">
        <v>150400</v>
      </c>
      <c r="BQ10">
        <v>151100</v>
      </c>
      <c r="BR10">
        <v>151800</v>
      </c>
      <c r="BS10">
        <v>152400</v>
      </c>
      <c r="BT10">
        <v>153200</v>
      </c>
      <c r="BU10">
        <v>153900</v>
      </c>
      <c r="BV10">
        <v>154600</v>
      </c>
      <c r="BW10">
        <v>155300</v>
      </c>
      <c r="BX10">
        <v>155900</v>
      </c>
      <c r="BY10">
        <v>156600</v>
      </c>
      <c r="BZ10">
        <v>157200</v>
      </c>
      <c r="CA10">
        <v>158000</v>
      </c>
      <c r="CB10">
        <v>158600</v>
      </c>
      <c r="CC10">
        <v>159200</v>
      </c>
      <c r="CD10">
        <v>159900</v>
      </c>
      <c r="CE10">
        <v>160500</v>
      </c>
      <c r="CF10">
        <v>161000</v>
      </c>
      <c r="CG10">
        <v>161500</v>
      </c>
      <c r="CH10">
        <v>161900</v>
      </c>
      <c r="CI10">
        <v>162200</v>
      </c>
      <c r="CJ10">
        <v>162600</v>
      </c>
      <c r="CK10">
        <v>162800</v>
      </c>
      <c r="CL10">
        <v>163100</v>
      </c>
      <c r="CM10">
        <v>163500</v>
      </c>
      <c r="CN10">
        <v>163700</v>
      </c>
      <c r="CO10">
        <v>163600</v>
      </c>
      <c r="CP10">
        <v>163500</v>
      </c>
      <c r="CQ10">
        <v>163400</v>
      </c>
      <c r="CR10">
        <v>163100</v>
      </c>
      <c r="CS10">
        <v>162800</v>
      </c>
      <c r="CT10">
        <v>162400</v>
      </c>
      <c r="CU10">
        <v>161800</v>
      </c>
      <c r="CV10">
        <v>161200</v>
      </c>
      <c r="CW10">
        <v>160500</v>
      </c>
      <c r="CX10">
        <v>159800</v>
      </c>
      <c r="CY10">
        <v>159000</v>
      </c>
      <c r="CZ10">
        <v>158100</v>
      </c>
      <c r="DA10">
        <v>156900</v>
      </c>
      <c r="DB10">
        <v>155600</v>
      </c>
      <c r="DC10">
        <v>154200</v>
      </c>
      <c r="DD10">
        <v>152900</v>
      </c>
      <c r="DE10">
        <v>151600</v>
      </c>
      <c r="DF10">
        <v>150400</v>
      </c>
      <c r="DG10">
        <v>149100</v>
      </c>
      <c r="DH10">
        <v>148000</v>
      </c>
      <c r="DI10">
        <v>146800</v>
      </c>
      <c r="DJ10">
        <v>145600</v>
      </c>
      <c r="DK10">
        <v>144400</v>
      </c>
      <c r="DL10">
        <v>143000</v>
      </c>
      <c r="DM10">
        <v>141400</v>
      </c>
      <c r="DN10">
        <v>140100</v>
      </c>
      <c r="DO10">
        <v>139000</v>
      </c>
      <c r="DP10">
        <v>138200</v>
      </c>
      <c r="DQ10">
        <v>137400</v>
      </c>
      <c r="DR10">
        <v>136700</v>
      </c>
      <c r="DS10">
        <v>136300</v>
      </c>
      <c r="DT10">
        <v>136100</v>
      </c>
      <c r="DU10">
        <v>136300</v>
      </c>
      <c r="DV10">
        <v>135400</v>
      </c>
      <c r="DW10">
        <v>133800</v>
      </c>
      <c r="DX10">
        <v>132700</v>
      </c>
      <c r="DY10">
        <v>132300</v>
      </c>
      <c r="DZ10">
        <v>131600</v>
      </c>
      <c r="EA10">
        <v>130700</v>
      </c>
      <c r="EB10">
        <v>129500</v>
      </c>
      <c r="EC10">
        <v>128200</v>
      </c>
      <c r="ED10">
        <v>127100</v>
      </c>
      <c r="EE10">
        <v>126100</v>
      </c>
      <c r="EF10">
        <v>124700</v>
      </c>
      <c r="EG10">
        <v>123100</v>
      </c>
      <c r="EH10">
        <v>121800</v>
      </c>
      <c r="EI10">
        <v>120700</v>
      </c>
      <c r="EJ10">
        <v>119700</v>
      </c>
      <c r="EK10">
        <v>118600</v>
      </c>
      <c r="EL10">
        <v>117500</v>
      </c>
      <c r="EM10">
        <v>116400</v>
      </c>
      <c r="EN10">
        <v>115300</v>
      </c>
      <c r="EO10">
        <v>114000</v>
      </c>
      <c r="EP10">
        <v>112800</v>
      </c>
      <c r="EQ10">
        <v>111800</v>
      </c>
      <c r="ER10">
        <v>110900</v>
      </c>
      <c r="ES10">
        <v>110200</v>
      </c>
      <c r="ET10">
        <v>109900</v>
      </c>
      <c r="EU10">
        <v>109700</v>
      </c>
      <c r="EV10">
        <v>109600</v>
      </c>
      <c r="EW10">
        <v>109800</v>
      </c>
      <c r="EX10">
        <v>110000</v>
      </c>
      <c r="EY10">
        <v>110200</v>
      </c>
      <c r="EZ10">
        <v>110800</v>
      </c>
      <c r="FA10">
        <v>111500</v>
      </c>
      <c r="FB10">
        <v>112200</v>
      </c>
      <c r="FC10">
        <v>112800</v>
      </c>
      <c r="FD10">
        <v>113500</v>
      </c>
      <c r="FE10">
        <v>114200</v>
      </c>
      <c r="FF10">
        <v>115000</v>
      </c>
      <c r="FG10">
        <v>115900</v>
      </c>
      <c r="FH10">
        <v>116900</v>
      </c>
      <c r="FI10">
        <v>117800</v>
      </c>
      <c r="FJ10">
        <v>118600</v>
      </c>
      <c r="FK10">
        <v>119600</v>
      </c>
      <c r="FL10">
        <v>120600</v>
      </c>
      <c r="FM10">
        <v>121600</v>
      </c>
      <c r="FN10">
        <v>122700</v>
      </c>
      <c r="FO10">
        <v>123800</v>
      </c>
      <c r="FP10">
        <v>124900</v>
      </c>
      <c r="FQ10">
        <v>125800</v>
      </c>
      <c r="FR10">
        <v>126800</v>
      </c>
      <c r="FS10">
        <v>128000</v>
      </c>
      <c r="FT10">
        <v>129000</v>
      </c>
      <c r="FU10">
        <v>129900</v>
      </c>
      <c r="FV10">
        <v>131000</v>
      </c>
      <c r="FW10">
        <v>131900</v>
      </c>
      <c r="FX10">
        <v>132500</v>
      </c>
      <c r="FY10">
        <v>133200</v>
      </c>
      <c r="FZ10">
        <v>134200</v>
      </c>
      <c r="GA10">
        <v>134900</v>
      </c>
      <c r="GB10">
        <v>135300</v>
      </c>
      <c r="GC10">
        <v>135700</v>
      </c>
      <c r="GD10">
        <v>136500</v>
      </c>
      <c r="GE10">
        <v>137400</v>
      </c>
      <c r="GF10">
        <v>138300</v>
      </c>
      <c r="GG10">
        <v>138900</v>
      </c>
      <c r="GH10">
        <v>139600</v>
      </c>
      <c r="GI10">
        <v>140600</v>
      </c>
      <c r="GJ10">
        <v>141300</v>
      </c>
      <c r="GK10">
        <v>141900</v>
      </c>
      <c r="GL10">
        <v>142400</v>
      </c>
      <c r="GM10">
        <v>143000</v>
      </c>
      <c r="GN10">
        <v>143800</v>
      </c>
      <c r="GO10">
        <v>144700</v>
      </c>
      <c r="GP10">
        <v>145800</v>
      </c>
      <c r="GQ10">
        <v>147000</v>
      </c>
      <c r="GR10">
        <v>148100</v>
      </c>
      <c r="GS10">
        <v>148900</v>
      </c>
      <c r="GT10">
        <v>149900</v>
      </c>
      <c r="GU10">
        <v>150800</v>
      </c>
      <c r="GV10">
        <v>151800</v>
      </c>
      <c r="GW10">
        <v>152900</v>
      </c>
      <c r="GX10">
        <v>154000</v>
      </c>
      <c r="GY10">
        <v>154800</v>
      </c>
      <c r="GZ10">
        <v>155800</v>
      </c>
      <c r="HA10">
        <v>156600</v>
      </c>
      <c r="HB10">
        <v>157500</v>
      </c>
      <c r="HC10">
        <v>158400</v>
      </c>
      <c r="HD10">
        <v>159300</v>
      </c>
      <c r="HE10">
        <v>159900</v>
      </c>
      <c r="HF10">
        <v>160600</v>
      </c>
      <c r="HG10">
        <v>161600</v>
      </c>
      <c r="HH10">
        <v>163000</v>
      </c>
      <c r="HI10">
        <v>164200</v>
      </c>
      <c r="HJ10">
        <v>165400</v>
      </c>
      <c r="HK10">
        <v>166900</v>
      </c>
      <c r="HL10">
        <v>168700</v>
      </c>
      <c r="HM10">
        <v>170600</v>
      </c>
      <c r="HN10">
        <v>171900</v>
      </c>
      <c r="HO10">
        <v>173100</v>
      </c>
      <c r="HP10">
        <v>174400</v>
      </c>
      <c r="HQ10">
        <v>175800</v>
      </c>
      <c r="HR10">
        <v>176900</v>
      </c>
      <c r="HS10">
        <v>178100</v>
      </c>
      <c r="HT10">
        <v>179200</v>
      </c>
    </row>
    <row r="11" spans="1:228" x14ac:dyDescent="0.3">
      <c r="A11">
        <v>36</v>
      </c>
      <c r="B11" t="s">
        <v>237</v>
      </c>
      <c r="C11">
        <v>10</v>
      </c>
      <c r="D11">
        <v>108900</v>
      </c>
      <c r="E11">
        <v>109300</v>
      </c>
      <c r="F11">
        <v>109800</v>
      </c>
      <c r="G11">
        <v>110100</v>
      </c>
      <c r="H11">
        <v>110500</v>
      </c>
      <c r="I11">
        <v>111000</v>
      </c>
      <c r="J11">
        <v>111500</v>
      </c>
      <c r="K11">
        <v>112200</v>
      </c>
      <c r="L11">
        <v>112700</v>
      </c>
      <c r="M11">
        <v>113300</v>
      </c>
      <c r="N11">
        <v>113700</v>
      </c>
      <c r="O11">
        <v>114100</v>
      </c>
      <c r="P11">
        <v>114300</v>
      </c>
      <c r="Q11">
        <v>114600</v>
      </c>
      <c r="R11">
        <v>114800</v>
      </c>
      <c r="S11">
        <v>114900</v>
      </c>
      <c r="T11">
        <v>115100</v>
      </c>
      <c r="U11">
        <v>115200</v>
      </c>
      <c r="V11">
        <v>115300</v>
      </c>
      <c r="W11">
        <v>115400</v>
      </c>
      <c r="X11">
        <v>115500</v>
      </c>
      <c r="Y11">
        <v>115700</v>
      </c>
      <c r="Z11">
        <v>116000</v>
      </c>
      <c r="AA11">
        <v>116300</v>
      </c>
      <c r="AB11">
        <v>116700</v>
      </c>
      <c r="AC11">
        <v>117200</v>
      </c>
      <c r="AD11">
        <v>117600</v>
      </c>
      <c r="AE11">
        <v>118000</v>
      </c>
      <c r="AF11">
        <v>118200</v>
      </c>
      <c r="AG11">
        <v>118500</v>
      </c>
      <c r="AH11">
        <v>118700</v>
      </c>
      <c r="AI11">
        <v>118900</v>
      </c>
      <c r="AJ11">
        <v>119200</v>
      </c>
      <c r="AK11">
        <v>119600</v>
      </c>
      <c r="AL11">
        <v>120000</v>
      </c>
      <c r="AM11">
        <v>120500</v>
      </c>
      <c r="AN11">
        <v>120900</v>
      </c>
      <c r="AO11">
        <v>121200</v>
      </c>
      <c r="AP11">
        <v>121500</v>
      </c>
      <c r="AQ11">
        <v>121900</v>
      </c>
      <c r="AR11">
        <v>122400</v>
      </c>
      <c r="AS11">
        <v>123000</v>
      </c>
      <c r="AT11">
        <v>123600</v>
      </c>
      <c r="AU11">
        <v>124100</v>
      </c>
      <c r="AV11">
        <v>124600</v>
      </c>
      <c r="AW11">
        <v>125000</v>
      </c>
      <c r="AX11">
        <v>125500</v>
      </c>
      <c r="AY11">
        <v>126100</v>
      </c>
      <c r="AZ11">
        <v>127000</v>
      </c>
      <c r="BA11">
        <v>127900</v>
      </c>
      <c r="BB11">
        <v>128900</v>
      </c>
      <c r="BC11">
        <v>129900</v>
      </c>
      <c r="BD11">
        <v>130700</v>
      </c>
      <c r="BE11">
        <v>131300</v>
      </c>
      <c r="BF11">
        <v>131900</v>
      </c>
      <c r="BG11">
        <v>132400</v>
      </c>
      <c r="BH11">
        <v>132900</v>
      </c>
      <c r="BI11">
        <v>133400</v>
      </c>
      <c r="BJ11">
        <v>133700</v>
      </c>
      <c r="BK11">
        <v>134000</v>
      </c>
      <c r="BL11">
        <v>134100</v>
      </c>
      <c r="BM11">
        <v>134200</v>
      </c>
      <c r="BN11">
        <v>134500</v>
      </c>
      <c r="BO11">
        <v>134900</v>
      </c>
      <c r="BP11">
        <v>135400</v>
      </c>
      <c r="BQ11">
        <v>136100</v>
      </c>
      <c r="BR11">
        <v>136800</v>
      </c>
      <c r="BS11">
        <v>137600</v>
      </c>
      <c r="BT11">
        <v>138400</v>
      </c>
      <c r="BU11">
        <v>139200</v>
      </c>
      <c r="BV11">
        <v>140100</v>
      </c>
      <c r="BW11">
        <v>140900</v>
      </c>
      <c r="BX11">
        <v>141800</v>
      </c>
      <c r="BY11">
        <v>142600</v>
      </c>
      <c r="BZ11">
        <v>143500</v>
      </c>
      <c r="CA11">
        <v>144400</v>
      </c>
      <c r="CB11">
        <v>145300</v>
      </c>
      <c r="CC11">
        <v>146100</v>
      </c>
      <c r="CD11">
        <v>147000</v>
      </c>
      <c r="CE11">
        <v>147800</v>
      </c>
      <c r="CF11">
        <v>148500</v>
      </c>
      <c r="CG11">
        <v>149200</v>
      </c>
      <c r="CH11">
        <v>149800</v>
      </c>
      <c r="CI11">
        <v>150500</v>
      </c>
      <c r="CJ11">
        <v>151100</v>
      </c>
      <c r="CK11">
        <v>151700</v>
      </c>
      <c r="CL11">
        <v>152200</v>
      </c>
      <c r="CM11">
        <v>152700</v>
      </c>
      <c r="CN11">
        <v>153100</v>
      </c>
      <c r="CO11">
        <v>153400</v>
      </c>
      <c r="CP11">
        <v>153600</v>
      </c>
      <c r="CQ11">
        <v>153800</v>
      </c>
      <c r="CR11">
        <v>154000</v>
      </c>
      <c r="CS11">
        <v>154000</v>
      </c>
      <c r="CT11">
        <v>154100</v>
      </c>
      <c r="CU11">
        <v>154000</v>
      </c>
      <c r="CV11">
        <v>154000</v>
      </c>
      <c r="CW11">
        <v>153900</v>
      </c>
      <c r="CX11">
        <v>153800</v>
      </c>
      <c r="CY11">
        <v>153700</v>
      </c>
      <c r="CZ11">
        <v>153400</v>
      </c>
      <c r="DA11">
        <v>152800</v>
      </c>
      <c r="DB11">
        <v>152200</v>
      </c>
      <c r="DC11">
        <v>151500</v>
      </c>
      <c r="DD11">
        <v>150900</v>
      </c>
      <c r="DE11">
        <v>150300</v>
      </c>
      <c r="DF11">
        <v>149800</v>
      </c>
      <c r="DG11">
        <v>149500</v>
      </c>
      <c r="DH11">
        <v>149200</v>
      </c>
      <c r="DI11">
        <v>149000</v>
      </c>
      <c r="DJ11">
        <v>148700</v>
      </c>
      <c r="DK11">
        <v>148400</v>
      </c>
      <c r="DL11">
        <v>147800</v>
      </c>
      <c r="DM11">
        <v>147100</v>
      </c>
      <c r="DN11">
        <v>146400</v>
      </c>
      <c r="DO11">
        <v>145900</v>
      </c>
      <c r="DP11">
        <v>145400</v>
      </c>
      <c r="DQ11">
        <v>144900</v>
      </c>
      <c r="DR11">
        <v>144600</v>
      </c>
      <c r="DS11">
        <v>144500</v>
      </c>
      <c r="DT11">
        <v>144500</v>
      </c>
      <c r="DU11">
        <v>144700</v>
      </c>
      <c r="DV11">
        <v>144400</v>
      </c>
      <c r="DW11">
        <v>143800</v>
      </c>
      <c r="DX11">
        <v>143300</v>
      </c>
      <c r="DY11">
        <v>143300</v>
      </c>
      <c r="DZ11">
        <v>142900</v>
      </c>
      <c r="EA11">
        <v>142400</v>
      </c>
      <c r="EB11">
        <v>141600</v>
      </c>
      <c r="EC11">
        <v>141100</v>
      </c>
      <c r="ED11">
        <v>140800</v>
      </c>
      <c r="EE11">
        <v>140000</v>
      </c>
      <c r="EF11">
        <v>139200</v>
      </c>
      <c r="EG11">
        <v>138400</v>
      </c>
      <c r="EH11">
        <v>137600</v>
      </c>
      <c r="EI11">
        <v>137000</v>
      </c>
      <c r="EJ11">
        <v>136500</v>
      </c>
      <c r="EK11">
        <v>135900</v>
      </c>
      <c r="EL11">
        <v>135400</v>
      </c>
      <c r="EM11">
        <v>135200</v>
      </c>
      <c r="EN11">
        <v>135400</v>
      </c>
      <c r="EO11">
        <v>135300</v>
      </c>
      <c r="EP11">
        <v>135000</v>
      </c>
      <c r="EQ11">
        <v>134800</v>
      </c>
      <c r="ER11">
        <v>134600</v>
      </c>
      <c r="ES11">
        <v>134600</v>
      </c>
      <c r="ET11">
        <v>134600</v>
      </c>
      <c r="EU11">
        <v>134600</v>
      </c>
      <c r="EV11">
        <v>134600</v>
      </c>
      <c r="EW11">
        <v>135000</v>
      </c>
      <c r="EX11">
        <v>135400</v>
      </c>
      <c r="EY11">
        <v>135400</v>
      </c>
      <c r="EZ11">
        <v>135300</v>
      </c>
      <c r="FA11">
        <v>135200</v>
      </c>
      <c r="FB11">
        <v>135100</v>
      </c>
      <c r="FC11">
        <v>134900</v>
      </c>
      <c r="FD11">
        <v>135000</v>
      </c>
      <c r="FE11">
        <v>135200</v>
      </c>
      <c r="FF11">
        <v>135400</v>
      </c>
      <c r="FG11">
        <v>135800</v>
      </c>
      <c r="FH11">
        <v>136200</v>
      </c>
      <c r="FI11">
        <v>136500</v>
      </c>
      <c r="FJ11">
        <v>136700</v>
      </c>
      <c r="FK11">
        <v>137200</v>
      </c>
      <c r="FL11">
        <v>137600</v>
      </c>
      <c r="FM11">
        <v>137900</v>
      </c>
      <c r="FN11">
        <v>138400</v>
      </c>
      <c r="FO11">
        <v>139000</v>
      </c>
      <c r="FP11">
        <v>139300</v>
      </c>
      <c r="FQ11">
        <v>139400</v>
      </c>
      <c r="FR11">
        <v>139500</v>
      </c>
      <c r="FS11">
        <v>139900</v>
      </c>
      <c r="FT11">
        <v>140200</v>
      </c>
      <c r="FU11">
        <v>140400</v>
      </c>
      <c r="FV11">
        <v>140600</v>
      </c>
      <c r="FW11">
        <v>140600</v>
      </c>
      <c r="FX11">
        <v>140800</v>
      </c>
      <c r="FY11">
        <v>141100</v>
      </c>
      <c r="FZ11">
        <v>141600</v>
      </c>
      <c r="GA11">
        <v>142000</v>
      </c>
      <c r="GB11">
        <v>142400</v>
      </c>
      <c r="GC11">
        <v>142900</v>
      </c>
      <c r="GD11">
        <v>143500</v>
      </c>
      <c r="GE11">
        <v>143800</v>
      </c>
      <c r="GF11">
        <v>144000</v>
      </c>
      <c r="GG11">
        <v>144400</v>
      </c>
      <c r="GH11">
        <v>144800</v>
      </c>
      <c r="GI11">
        <v>145200</v>
      </c>
      <c r="GJ11">
        <v>145800</v>
      </c>
      <c r="GK11">
        <v>146200</v>
      </c>
      <c r="GL11">
        <v>146600</v>
      </c>
      <c r="GM11">
        <v>147300</v>
      </c>
      <c r="GN11">
        <v>147800</v>
      </c>
      <c r="GO11">
        <v>148300</v>
      </c>
      <c r="GP11">
        <v>149000</v>
      </c>
      <c r="GQ11">
        <v>150000</v>
      </c>
      <c r="GR11">
        <v>150800</v>
      </c>
      <c r="GS11">
        <v>151500</v>
      </c>
      <c r="GT11">
        <v>152200</v>
      </c>
      <c r="GU11">
        <v>153200</v>
      </c>
      <c r="GV11">
        <v>154200</v>
      </c>
      <c r="GW11">
        <v>155000</v>
      </c>
      <c r="GX11">
        <v>156100</v>
      </c>
      <c r="GY11">
        <v>157300</v>
      </c>
      <c r="GZ11">
        <v>158100</v>
      </c>
      <c r="HA11">
        <v>158900</v>
      </c>
      <c r="HB11">
        <v>159800</v>
      </c>
      <c r="HC11">
        <v>161000</v>
      </c>
      <c r="HD11">
        <v>162000</v>
      </c>
      <c r="HE11">
        <v>162700</v>
      </c>
      <c r="HF11">
        <v>163200</v>
      </c>
      <c r="HG11">
        <v>163700</v>
      </c>
      <c r="HH11">
        <v>164200</v>
      </c>
      <c r="HI11">
        <v>165200</v>
      </c>
      <c r="HJ11">
        <v>166300</v>
      </c>
      <c r="HK11">
        <v>167100</v>
      </c>
      <c r="HL11">
        <v>168200</v>
      </c>
      <c r="HM11">
        <v>169600</v>
      </c>
      <c r="HN11">
        <v>170600</v>
      </c>
      <c r="HO11">
        <v>171600</v>
      </c>
      <c r="HP11">
        <v>172600</v>
      </c>
      <c r="HQ11">
        <v>173700</v>
      </c>
      <c r="HR11">
        <v>174900</v>
      </c>
      <c r="HS11">
        <v>176300</v>
      </c>
      <c r="HT11">
        <v>177400</v>
      </c>
    </row>
    <row r="12" spans="1:228" x14ac:dyDescent="0.3">
      <c r="A12">
        <v>40</v>
      </c>
      <c r="B12" t="s">
        <v>238</v>
      </c>
      <c r="C12">
        <v>11</v>
      </c>
      <c r="D12">
        <v>164600</v>
      </c>
      <c r="E12">
        <v>166000</v>
      </c>
      <c r="F12">
        <v>167400</v>
      </c>
      <c r="G12">
        <v>168700</v>
      </c>
      <c r="H12">
        <v>170000</v>
      </c>
      <c r="I12">
        <v>171200</v>
      </c>
      <c r="J12">
        <v>172500</v>
      </c>
      <c r="K12">
        <v>173700</v>
      </c>
      <c r="L12">
        <v>174900</v>
      </c>
      <c r="M12">
        <v>176200</v>
      </c>
      <c r="N12">
        <v>177600</v>
      </c>
      <c r="O12">
        <v>179100</v>
      </c>
      <c r="P12">
        <v>180700</v>
      </c>
      <c r="Q12">
        <v>182300</v>
      </c>
      <c r="R12">
        <v>183900</v>
      </c>
      <c r="S12">
        <v>185600</v>
      </c>
      <c r="T12">
        <v>187300</v>
      </c>
      <c r="U12">
        <v>189200</v>
      </c>
      <c r="V12">
        <v>191100</v>
      </c>
      <c r="W12">
        <v>193100</v>
      </c>
      <c r="X12">
        <v>195100</v>
      </c>
      <c r="Y12">
        <v>197300</v>
      </c>
      <c r="Z12">
        <v>199500</v>
      </c>
      <c r="AA12">
        <v>202000</v>
      </c>
      <c r="AB12">
        <v>204500</v>
      </c>
      <c r="AC12">
        <v>207000</v>
      </c>
      <c r="AD12">
        <v>209600</v>
      </c>
      <c r="AE12">
        <v>212300</v>
      </c>
      <c r="AF12">
        <v>215100</v>
      </c>
      <c r="AG12">
        <v>218000</v>
      </c>
      <c r="AH12">
        <v>221000</v>
      </c>
      <c r="AI12">
        <v>224200</v>
      </c>
      <c r="AJ12">
        <v>227600</v>
      </c>
      <c r="AK12">
        <v>231000</v>
      </c>
      <c r="AL12">
        <v>234500</v>
      </c>
      <c r="AM12">
        <v>238000</v>
      </c>
      <c r="AN12">
        <v>241200</v>
      </c>
      <c r="AO12">
        <v>244300</v>
      </c>
      <c r="AP12">
        <v>247300</v>
      </c>
      <c r="AQ12">
        <v>250200</v>
      </c>
      <c r="AR12">
        <v>253200</v>
      </c>
      <c r="AS12">
        <v>256200</v>
      </c>
      <c r="AT12">
        <v>259200</v>
      </c>
      <c r="AU12">
        <v>262200</v>
      </c>
      <c r="AV12">
        <v>265100</v>
      </c>
      <c r="AW12">
        <v>267900</v>
      </c>
      <c r="AX12">
        <v>270600</v>
      </c>
      <c r="AY12">
        <v>273300</v>
      </c>
      <c r="AZ12">
        <v>276000</v>
      </c>
      <c r="BA12">
        <v>278900</v>
      </c>
      <c r="BB12">
        <v>281900</v>
      </c>
      <c r="BC12">
        <v>285100</v>
      </c>
      <c r="BD12">
        <v>288600</v>
      </c>
      <c r="BE12">
        <v>292200</v>
      </c>
      <c r="BF12">
        <v>296000</v>
      </c>
      <c r="BG12">
        <v>299900</v>
      </c>
      <c r="BH12">
        <v>303800</v>
      </c>
      <c r="BI12">
        <v>307600</v>
      </c>
      <c r="BJ12">
        <v>311400</v>
      </c>
      <c r="BK12">
        <v>315100</v>
      </c>
      <c r="BL12">
        <v>318900</v>
      </c>
      <c r="BM12">
        <v>322500</v>
      </c>
      <c r="BN12">
        <v>326200</v>
      </c>
      <c r="BO12">
        <v>330200</v>
      </c>
      <c r="BP12">
        <v>334200</v>
      </c>
      <c r="BQ12">
        <v>338200</v>
      </c>
      <c r="BR12">
        <v>342300</v>
      </c>
      <c r="BS12">
        <v>346200</v>
      </c>
      <c r="BT12">
        <v>350100</v>
      </c>
      <c r="BU12">
        <v>353800</v>
      </c>
      <c r="BV12">
        <v>357200</v>
      </c>
      <c r="BW12">
        <v>360500</v>
      </c>
      <c r="BX12">
        <v>363400</v>
      </c>
      <c r="BY12">
        <v>366100</v>
      </c>
      <c r="BZ12">
        <v>368700</v>
      </c>
      <c r="CA12">
        <v>371100</v>
      </c>
      <c r="CB12">
        <v>373100</v>
      </c>
      <c r="CC12">
        <v>374600</v>
      </c>
      <c r="CD12">
        <v>375600</v>
      </c>
      <c r="CE12">
        <v>375900</v>
      </c>
      <c r="CF12">
        <v>375600</v>
      </c>
      <c r="CG12">
        <v>375000</v>
      </c>
      <c r="CH12">
        <v>373900</v>
      </c>
      <c r="CI12">
        <v>372800</v>
      </c>
      <c r="CJ12">
        <v>371900</v>
      </c>
      <c r="CK12">
        <v>370900</v>
      </c>
      <c r="CL12">
        <v>370100</v>
      </c>
      <c r="CM12">
        <v>369300</v>
      </c>
      <c r="CN12">
        <v>368200</v>
      </c>
      <c r="CO12">
        <v>366600</v>
      </c>
      <c r="CP12">
        <v>364900</v>
      </c>
      <c r="CQ12">
        <v>363100</v>
      </c>
      <c r="CR12">
        <v>361400</v>
      </c>
      <c r="CS12">
        <v>359700</v>
      </c>
      <c r="CT12">
        <v>358000</v>
      </c>
      <c r="CU12">
        <v>356300</v>
      </c>
      <c r="CV12">
        <v>354500</v>
      </c>
      <c r="CW12">
        <v>352500</v>
      </c>
      <c r="CX12">
        <v>350600</v>
      </c>
      <c r="CY12">
        <v>348600</v>
      </c>
      <c r="CZ12">
        <v>346100</v>
      </c>
      <c r="DA12">
        <v>343000</v>
      </c>
      <c r="DB12">
        <v>339700</v>
      </c>
      <c r="DC12">
        <v>336300</v>
      </c>
      <c r="DD12">
        <v>333100</v>
      </c>
      <c r="DE12">
        <v>330200</v>
      </c>
      <c r="DF12">
        <v>327300</v>
      </c>
      <c r="DG12">
        <v>324600</v>
      </c>
      <c r="DH12">
        <v>322000</v>
      </c>
      <c r="DI12">
        <v>319200</v>
      </c>
      <c r="DJ12">
        <v>316400</v>
      </c>
      <c r="DK12">
        <v>313400</v>
      </c>
      <c r="DL12">
        <v>309900</v>
      </c>
      <c r="DM12">
        <v>306400</v>
      </c>
      <c r="DN12">
        <v>303900</v>
      </c>
      <c r="DO12">
        <v>302300</v>
      </c>
      <c r="DP12">
        <v>301200</v>
      </c>
      <c r="DQ12">
        <v>300500</v>
      </c>
      <c r="DR12">
        <v>300000</v>
      </c>
      <c r="DS12">
        <v>299800</v>
      </c>
      <c r="DT12">
        <v>299800</v>
      </c>
      <c r="DU12">
        <v>300100</v>
      </c>
      <c r="DV12">
        <v>299100</v>
      </c>
      <c r="DW12">
        <v>296700</v>
      </c>
      <c r="DX12">
        <v>295200</v>
      </c>
      <c r="DY12">
        <v>295000</v>
      </c>
      <c r="DZ12">
        <v>294000</v>
      </c>
      <c r="EA12">
        <v>292200</v>
      </c>
      <c r="EB12">
        <v>290200</v>
      </c>
      <c r="EC12">
        <v>288200</v>
      </c>
      <c r="ED12">
        <v>286000</v>
      </c>
      <c r="EE12">
        <v>283300</v>
      </c>
      <c r="EF12">
        <v>280500</v>
      </c>
      <c r="EG12">
        <v>277900</v>
      </c>
      <c r="EH12">
        <v>276100</v>
      </c>
      <c r="EI12">
        <v>275200</v>
      </c>
      <c r="EJ12">
        <v>274100</v>
      </c>
      <c r="EK12">
        <v>272900</v>
      </c>
      <c r="EL12">
        <v>271500</v>
      </c>
      <c r="EM12">
        <v>269600</v>
      </c>
      <c r="EN12">
        <v>267800</v>
      </c>
      <c r="EO12">
        <v>266300</v>
      </c>
      <c r="EP12">
        <v>264800</v>
      </c>
      <c r="EQ12">
        <v>263300</v>
      </c>
      <c r="ER12">
        <v>261900</v>
      </c>
      <c r="ES12">
        <v>260400</v>
      </c>
      <c r="ET12">
        <v>259400</v>
      </c>
      <c r="EU12">
        <v>258900</v>
      </c>
      <c r="EV12">
        <v>258500</v>
      </c>
      <c r="EW12">
        <v>257700</v>
      </c>
      <c r="EX12">
        <v>256900</v>
      </c>
      <c r="EY12">
        <v>256600</v>
      </c>
      <c r="EZ12">
        <v>256300</v>
      </c>
      <c r="FA12">
        <v>255800</v>
      </c>
      <c r="FB12">
        <v>255700</v>
      </c>
      <c r="FC12">
        <v>256000</v>
      </c>
      <c r="FD12">
        <v>256300</v>
      </c>
      <c r="FE12">
        <v>256600</v>
      </c>
      <c r="FF12">
        <v>256700</v>
      </c>
      <c r="FG12">
        <v>256800</v>
      </c>
      <c r="FH12">
        <v>257200</v>
      </c>
      <c r="FI12">
        <v>257800</v>
      </c>
      <c r="FJ12">
        <v>259100</v>
      </c>
      <c r="FK12">
        <v>260700</v>
      </c>
      <c r="FL12">
        <v>262100</v>
      </c>
      <c r="FM12">
        <v>263200</v>
      </c>
      <c r="FN12">
        <v>264400</v>
      </c>
      <c r="FO12">
        <v>265300</v>
      </c>
      <c r="FP12">
        <v>266200</v>
      </c>
      <c r="FQ12">
        <v>267200</v>
      </c>
      <c r="FR12">
        <v>268100</v>
      </c>
      <c r="FS12">
        <v>268700</v>
      </c>
      <c r="FT12">
        <v>269000</v>
      </c>
      <c r="FU12">
        <v>269500</v>
      </c>
      <c r="FV12">
        <v>270100</v>
      </c>
      <c r="FW12">
        <v>270600</v>
      </c>
      <c r="FX12">
        <v>271100</v>
      </c>
      <c r="FY12">
        <v>271600</v>
      </c>
      <c r="FZ12">
        <v>272100</v>
      </c>
      <c r="GA12">
        <v>272200</v>
      </c>
      <c r="GB12">
        <v>272000</v>
      </c>
      <c r="GC12">
        <v>271800</v>
      </c>
      <c r="GD12">
        <v>271600</v>
      </c>
      <c r="GE12">
        <v>271300</v>
      </c>
      <c r="GF12">
        <v>271500</v>
      </c>
      <c r="GG12">
        <v>272000</v>
      </c>
      <c r="GH12">
        <v>272500</v>
      </c>
      <c r="GI12">
        <v>273100</v>
      </c>
      <c r="GJ12">
        <v>273800</v>
      </c>
      <c r="GK12">
        <v>274300</v>
      </c>
      <c r="GL12">
        <v>274400</v>
      </c>
      <c r="GM12">
        <v>274700</v>
      </c>
      <c r="GN12">
        <v>275100</v>
      </c>
      <c r="GO12">
        <v>275300</v>
      </c>
      <c r="GP12">
        <v>275500</v>
      </c>
      <c r="GQ12">
        <v>276100</v>
      </c>
      <c r="GR12">
        <v>276700</v>
      </c>
      <c r="GS12">
        <v>277300</v>
      </c>
      <c r="GT12">
        <v>277800</v>
      </c>
      <c r="GU12">
        <v>278200</v>
      </c>
      <c r="GV12">
        <v>278200</v>
      </c>
      <c r="GW12">
        <v>278300</v>
      </c>
      <c r="GX12">
        <v>278900</v>
      </c>
      <c r="GY12">
        <v>280200</v>
      </c>
      <c r="GZ12">
        <v>281500</v>
      </c>
      <c r="HA12">
        <v>282500</v>
      </c>
      <c r="HB12">
        <v>284300</v>
      </c>
      <c r="HC12">
        <v>287500</v>
      </c>
      <c r="HD12">
        <v>290700</v>
      </c>
      <c r="HE12">
        <v>293200</v>
      </c>
      <c r="HF12">
        <v>295200</v>
      </c>
      <c r="HG12">
        <v>297400</v>
      </c>
      <c r="HH12">
        <v>299700</v>
      </c>
      <c r="HI12">
        <v>302200</v>
      </c>
      <c r="HJ12">
        <v>304500</v>
      </c>
      <c r="HK12">
        <v>306600</v>
      </c>
      <c r="HL12">
        <v>308800</v>
      </c>
      <c r="HM12">
        <v>311100</v>
      </c>
      <c r="HN12">
        <v>313400</v>
      </c>
      <c r="HO12">
        <v>315200</v>
      </c>
      <c r="HP12">
        <v>316600</v>
      </c>
      <c r="HQ12">
        <v>317700</v>
      </c>
      <c r="HR12">
        <v>318700</v>
      </c>
      <c r="HS12">
        <v>319900</v>
      </c>
      <c r="HT12">
        <v>321200</v>
      </c>
    </row>
    <row r="13" spans="1:228" x14ac:dyDescent="0.3">
      <c r="A13">
        <v>56</v>
      </c>
      <c r="B13" t="s">
        <v>239</v>
      </c>
      <c r="C13">
        <v>12</v>
      </c>
      <c r="D13">
        <v>126500</v>
      </c>
      <c r="E13">
        <v>127400</v>
      </c>
      <c r="F13">
        <v>128200</v>
      </c>
      <c r="G13">
        <v>129000</v>
      </c>
      <c r="H13">
        <v>129600</v>
      </c>
      <c r="I13">
        <v>130300</v>
      </c>
      <c r="J13">
        <v>130800</v>
      </c>
      <c r="K13">
        <v>131400</v>
      </c>
      <c r="L13">
        <v>132000</v>
      </c>
      <c r="M13">
        <v>132700</v>
      </c>
      <c r="N13">
        <v>133500</v>
      </c>
      <c r="O13">
        <v>134300</v>
      </c>
      <c r="P13">
        <v>135100</v>
      </c>
      <c r="Q13">
        <v>135900</v>
      </c>
      <c r="R13">
        <v>136600</v>
      </c>
      <c r="S13">
        <v>137300</v>
      </c>
      <c r="T13">
        <v>138100</v>
      </c>
      <c r="U13">
        <v>139000</v>
      </c>
      <c r="V13">
        <v>140000</v>
      </c>
      <c r="W13">
        <v>140900</v>
      </c>
      <c r="X13">
        <v>142000</v>
      </c>
      <c r="Y13">
        <v>143100</v>
      </c>
      <c r="Z13">
        <v>144300</v>
      </c>
      <c r="AA13">
        <v>145500</v>
      </c>
      <c r="AB13">
        <v>146700</v>
      </c>
      <c r="AC13">
        <v>148000</v>
      </c>
      <c r="AD13">
        <v>149200</v>
      </c>
      <c r="AE13">
        <v>150400</v>
      </c>
      <c r="AF13">
        <v>151700</v>
      </c>
      <c r="AG13">
        <v>152900</v>
      </c>
      <c r="AH13">
        <v>154000</v>
      </c>
      <c r="AI13">
        <v>155200</v>
      </c>
      <c r="AJ13">
        <v>156400</v>
      </c>
      <c r="AK13">
        <v>157600</v>
      </c>
      <c r="AL13">
        <v>158900</v>
      </c>
      <c r="AM13">
        <v>160200</v>
      </c>
      <c r="AN13">
        <v>161400</v>
      </c>
      <c r="AO13">
        <v>162600</v>
      </c>
      <c r="AP13">
        <v>163900</v>
      </c>
      <c r="AQ13">
        <v>165300</v>
      </c>
      <c r="AR13">
        <v>166800</v>
      </c>
      <c r="AS13">
        <v>168500</v>
      </c>
      <c r="AT13">
        <v>170300</v>
      </c>
      <c r="AU13">
        <v>172200</v>
      </c>
      <c r="AV13">
        <v>174200</v>
      </c>
      <c r="AW13">
        <v>176200</v>
      </c>
      <c r="AX13">
        <v>178300</v>
      </c>
      <c r="AY13">
        <v>180500</v>
      </c>
      <c r="AZ13">
        <v>182700</v>
      </c>
      <c r="BA13">
        <v>185100</v>
      </c>
      <c r="BB13">
        <v>187900</v>
      </c>
      <c r="BC13">
        <v>191000</v>
      </c>
      <c r="BD13">
        <v>194500</v>
      </c>
      <c r="BE13">
        <v>198300</v>
      </c>
      <c r="BF13">
        <v>202500</v>
      </c>
      <c r="BG13">
        <v>206900</v>
      </c>
      <c r="BH13">
        <v>211200</v>
      </c>
      <c r="BI13">
        <v>215500</v>
      </c>
      <c r="BJ13">
        <v>219700</v>
      </c>
      <c r="BK13">
        <v>223800</v>
      </c>
      <c r="BL13">
        <v>227900</v>
      </c>
      <c r="BM13">
        <v>231900</v>
      </c>
      <c r="BN13">
        <v>235700</v>
      </c>
      <c r="BO13">
        <v>239600</v>
      </c>
      <c r="BP13">
        <v>243200</v>
      </c>
      <c r="BQ13">
        <v>246600</v>
      </c>
      <c r="BR13">
        <v>249600</v>
      </c>
      <c r="BS13">
        <v>252400</v>
      </c>
      <c r="BT13">
        <v>254800</v>
      </c>
      <c r="BU13">
        <v>256900</v>
      </c>
      <c r="BV13">
        <v>258800</v>
      </c>
      <c r="BW13">
        <v>260400</v>
      </c>
      <c r="BX13">
        <v>261700</v>
      </c>
      <c r="BY13">
        <v>262900</v>
      </c>
      <c r="BZ13">
        <v>263900</v>
      </c>
      <c r="CA13">
        <v>264700</v>
      </c>
      <c r="CB13">
        <v>265100</v>
      </c>
      <c r="CC13">
        <v>265200</v>
      </c>
      <c r="CD13">
        <v>265100</v>
      </c>
      <c r="CE13">
        <v>264900</v>
      </c>
      <c r="CF13">
        <v>264800</v>
      </c>
      <c r="CG13">
        <v>264700</v>
      </c>
      <c r="CH13">
        <v>264600</v>
      </c>
      <c r="CI13">
        <v>264700</v>
      </c>
      <c r="CJ13">
        <v>265000</v>
      </c>
      <c r="CK13">
        <v>265200</v>
      </c>
      <c r="CL13">
        <v>265500</v>
      </c>
      <c r="CM13">
        <v>265600</v>
      </c>
      <c r="CN13">
        <v>265300</v>
      </c>
      <c r="CO13">
        <v>264600</v>
      </c>
      <c r="CP13">
        <v>263800</v>
      </c>
      <c r="CQ13">
        <v>262600</v>
      </c>
      <c r="CR13">
        <v>261500</v>
      </c>
      <c r="CS13">
        <v>260200</v>
      </c>
      <c r="CT13">
        <v>258700</v>
      </c>
      <c r="CU13">
        <v>257000</v>
      </c>
      <c r="CV13">
        <v>255100</v>
      </c>
      <c r="CW13">
        <v>253100</v>
      </c>
      <c r="CX13">
        <v>251100</v>
      </c>
      <c r="CY13">
        <v>249000</v>
      </c>
      <c r="CZ13">
        <v>246700</v>
      </c>
      <c r="DA13">
        <v>244300</v>
      </c>
      <c r="DB13">
        <v>242100</v>
      </c>
      <c r="DC13">
        <v>240200</v>
      </c>
      <c r="DD13">
        <v>238400</v>
      </c>
      <c r="DE13">
        <v>236700</v>
      </c>
      <c r="DF13">
        <v>235000</v>
      </c>
      <c r="DG13">
        <v>233500</v>
      </c>
      <c r="DH13">
        <v>232000</v>
      </c>
      <c r="DI13">
        <v>230500</v>
      </c>
      <c r="DJ13">
        <v>228900</v>
      </c>
      <c r="DK13">
        <v>227100</v>
      </c>
      <c r="DL13">
        <v>225100</v>
      </c>
      <c r="DM13">
        <v>223300</v>
      </c>
      <c r="DN13">
        <v>221900</v>
      </c>
      <c r="DO13">
        <v>220900</v>
      </c>
      <c r="DP13">
        <v>220100</v>
      </c>
      <c r="DQ13">
        <v>219600</v>
      </c>
      <c r="DR13">
        <v>219300</v>
      </c>
      <c r="DS13">
        <v>219300</v>
      </c>
      <c r="DT13">
        <v>219400</v>
      </c>
      <c r="DU13">
        <v>219700</v>
      </c>
      <c r="DV13">
        <v>219100</v>
      </c>
      <c r="DW13">
        <v>217900</v>
      </c>
      <c r="DX13">
        <v>217400</v>
      </c>
      <c r="DY13">
        <v>217700</v>
      </c>
      <c r="DZ13">
        <v>217400</v>
      </c>
      <c r="EA13">
        <v>216500</v>
      </c>
      <c r="EB13">
        <v>215500</v>
      </c>
      <c r="EC13">
        <v>214600</v>
      </c>
      <c r="ED13">
        <v>213400</v>
      </c>
      <c r="EE13">
        <v>212200</v>
      </c>
      <c r="EF13">
        <v>210700</v>
      </c>
      <c r="EG13">
        <v>209300</v>
      </c>
      <c r="EH13">
        <v>208300</v>
      </c>
      <c r="EI13">
        <v>207900</v>
      </c>
      <c r="EJ13">
        <v>207300</v>
      </c>
      <c r="EK13">
        <v>206700</v>
      </c>
      <c r="EL13">
        <v>206100</v>
      </c>
      <c r="EM13">
        <v>205700</v>
      </c>
      <c r="EN13">
        <v>205300</v>
      </c>
      <c r="EO13">
        <v>205000</v>
      </c>
      <c r="EP13">
        <v>204600</v>
      </c>
      <c r="EQ13">
        <v>204500</v>
      </c>
      <c r="ER13">
        <v>204500</v>
      </c>
      <c r="ES13">
        <v>204400</v>
      </c>
      <c r="ET13">
        <v>204600</v>
      </c>
      <c r="EU13">
        <v>205100</v>
      </c>
      <c r="EV13">
        <v>205900</v>
      </c>
      <c r="EW13">
        <v>206600</v>
      </c>
      <c r="EX13">
        <v>207100</v>
      </c>
      <c r="EY13">
        <v>207700</v>
      </c>
      <c r="EZ13">
        <v>208200</v>
      </c>
      <c r="FA13">
        <v>208800</v>
      </c>
      <c r="FB13">
        <v>209400</v>
      </c>
      <c r="FC13">
        <v>210000</v>
      </c>
      <c r="FD13">
        <v>210600</v>
      </c>
      <c r="FE13">
        <v>211200</v>
      </c>
      <c r="FF13">
        <v>212000</v>
      </c>
      <c r="FG13">
        <v>213000</v>
      </c>
      <c r="FH13">
        <v>213900</v>
      </c>
      <c r="FI13">
        <v>214500</v>
      </c>
      <c r="FJ13">
        <v>215200</v>
      </c>
      <c r="FK13">
        <v>215900</v>
      </c>
      <c r="FL13">
        <v>216400</v>
      </c>
      <c r="FM13">
        <v>216700</v>
      </c>
      <c r="FN13">
        <v>217200</v>
      </c>
      <c r="FO13">
        <v>217700</v>
      </c>
      <c r="FP13">
        <v>218100</v>
      </c>
      <c r="FQ13">
        <v>218600</v>
      </c>
      <c r="FR13">
        <v>219200</v>
      </c>
      <c r="FS13">
        <v>219800</v>
      </c>
      <c r="FT13">
        <v>220200</v>
      </c>
      <c r="FU13">
        <v>220400</v>
      </c>
      <c r="FV13">
        <v>220900</v>
      </c>
      <c r="FW13">
        <v>221500</v>
      </c>
      <c r="FX13">
        <v>222000</v>
      </c>
      <c r="FY13">
        <v>222500</v>
      </c>
      <c r="FZ13">
        <v>222800</v>
      </c>
      <c r="GA13">
        <v>223000</v>
      </c>
      <c r="GB13">
        <v>223100</v>
      </c>
      <c r="GC13">
        <v>223400</v>
      </c>
      <c r="GD13">
        <v>223800</v>
      </c>
      <c r="GE13">
        <v>224300</v>
      </c>
      <c r="GF13">
        <v>224700</v>
      </c>
      <c r="GG13">
        <v>225100</v>
      </c>
      <c r="GH13">
        <v>225500</v>
      </c>
      <c r="GI13">
        <v>226000</v>
      </c>
      <c r="GJ13">
        <v>226400</v>
      </c>
      <c r="GK13">
        <v>226700</v>
      </c>
      <c r="GL13">
        <v>227300</v>
      </c>
      <c r="GM13">
        <v>227900</v>
      </c>
      <c r="GN13">
        <v>228400</v>
      </c>
      <c r="GO13">
        <v>228900</v>
      </c>
      <c r="GP13">
        <v>229700</v>
      </c>
      <c r="GQ13">
        <v>230500</v>
      </c>
      <c r="GR13">
        <v>231200</v>
      </c>
      <c r="GS13">
        <v>232000</v>
      </c>
      <c r="GT13">
        <v>232700</v>
      </c>
      <c r="GU13">
        <v>233300</v>
      </c>
      <c r="GV13">
        <v>234100</v>
      </c>
      <c r="GW13">
        <v>235200</v>
      </c>
      <c r="GX13">
        <v>236000</v>
      </c>
      <c r="GY13">
        <v>236800</v>
      </c>
      <c r="GZ13">
        <v>237900</v>
      </c>
      <c r="HA13">
        <v>238900</v>
      </c>
      <c r="HB13">
        <v>239700</v>
      </c>
      <c r="HC13">
        <v>240500</v>
      </c>
      <c r="HD13">
        <v>241400</v>
      </c>
      <c r="HE13">
        <v>242200</v>
      </c>
      <c r="HF13">
        <v>242700</v>
      </c>
      <c r="HG13">
        <v>243400</v>
      </c>
      <c r="HH13">
        <v>244400</v>
      </c>
      <c r="HI13">
        <v>245200</v>
      </c>
      <c r="HJ13">
        <v>245900</v>
      </c>
      <c r="HK13">
        <v>246400</v>
      </c>
      <c r="HL13">
        <v>247000</v>
      </c>
      <c r="HM13">
        <v>248100</v>
      </c>
      <c r="HN13">
        <v>249300</v>
      </c>
      <c r="HO13">
        <v>249900</v>
      </c>
      <c r="HP13">
        <v>250400</v>
      </c>
      <c r="HQ13">
        <v>250900</v>
      </c>
      <c r="HR13">
        <v>251500</v>
      </c>
      <c r="HS13">
        <v>252300</v>
      </c>
      <c r="HT13">
        <v>252900</v>
      </c>
    </row>
    <row r="14" spans="1:228" x14ac:dyDescent="0.3">
      <c r="A14">
        <v>59</v>
      </c>
      <c r="B14" t="s">
        <v>240</v>
      </c>
      <c r="C14">
        <v>13</v>
      </c>
      <c r="D14">
        <v>164000</v>
      </c>
      <c r="E14">
        <v>165000</v>
      </c>
      <c r="F14">
        <v>165900</v>
      </c>
      <c r="G14">
        <v>166700</v>
      </c>
      <c r="H14">
        <v>167500</v>
      </c>
      <c r="I14">
        <v>168100</v>
      </c>
      <c r="J14">
        <v>168600</v>
      </c>
      <c r="K14">
        <v>169000</v>
      </c>
      <c r="L14">
        <v>169400</v>
      </c>
      <c r="M14">
        <v>169800</v>
      </c>
      <c r="N14">
        <v>170400</v>
      </c>
      <c r="O14">
        <v>171100</v>
      </c>
      <c r="P14">
        <v>171900</v>
      </c>
      <c r="Q14">
        <v>172700</v>
      </c>
      <c r="R14">
        <v>173400</v>
      </c>
      <c r="S14">
        <v>174100</v>
      </c>
      <c r="T14">
        <v>174600</v>
      </c>
      <c r="U14">
        <v>175200</v>
      </c>
      <c r="V14">
        <v>175600</v>
      </c>
      <c r="W14">
        <v>176200</v>
      </c>
      <c r="X14">
        <v>176800</v>
      </c>
      <c r="Y14">
        <v>177600</v>
      </c>
      <c r="Z14">
        <v>178400</v>
      </c>
      <c r="AA14">
        <v>179300</v>
      </c>
      <c r="AB14">
        <v>180100</v>
      </c>
      <c r="AC14">
        <v>181000</v>
      </c>
      <c r="AD14">
        <v>181600</v>
      </c>
      <c r="AE14">
        <v>182000</v>
      </c>
      <c r="AF14">
        <v>182300</v>
      </c>
      <c r="AG14">
        <v>182600</v>
      </c>
      <c r="AH14">
        <v>182800</v>
      </c>
      <c r="AI14">
        <v>183100</v>
      </c>
      <c r="AJ14">
        <v>183400</v>
      </c>
      <c r="AK14">
        <v>183800</v>
      </c>
      <c r="AL14">
        <v>184300</v>
      </c>
      <c r="AM14">
        <v>184900</v>
      </c>
      <c r="AN14">
        <v>185500</v>
      </c>
      <c r="AO14">
        <v>186200</v>
      </c>
      <c r="AP14">
        <v>187300</v>
      </c>
      <c r="AQ14">
        <v>188500</v>
      </c>
      <c r="AR14">
        <v>189700</v>
      </c>
      <c r="AS14">
        <v>191000</v>
      </c>
      <c r="AT14">
        <v>192400</v>
      </c>
      <c r="AU14">
        <v>193800</v>
      </c>
      <c r="AV14">
        <v>195300</v>
      </c>
      <c r="AW14">
        <v>196800</v>
      </c>
      <c r="AX14">
        <v>198300</v>
      </c>
      <c r="AY14">
        <v>199900</v>
      </c>
      <c r="AZ14">
        <v>201600</v>
      </c>
      <c r="BA14">
        <v>203300</v>
      </c>
      <c r="BB14">
        <v>205200</v>
      </c>
      <c r="BC14">
        <v>207300</v>
      </c>
      <c r="BD14">
        <v>209500</v>
      </c>
      <c r="BE14">
        <v>211900</v>
      </c>
      <c r="BF14">
        <v>214500</v>
      </c>
      <c r="BG14">
        <v>217200</v>
      </c>
      <c r="BH14">
        <v>220000</v>
      </c>
      <c r="BI14">
        <v>222900</v>
      </c>
      <c r="BJ14">
        <v>225700</v>
      </c>
      <c r="BK14">
        <v>228500</v>
      </c>
      <c r="BL14">
        <v>231200</v>
      </c>
      <c r="BM14">
        <v>234000</v>
      </c>
      <c r="BN14">
        <v>237000</v>
      </c>
      <c r="BO14">
        <v>240400</v>
      </c>
      <c r="BP14">
        <v>244100</v>
      </c>
      <c r="BQ14">
        <v>248100</v>
      </c>
      <c r="BR14">
        <v>252300</v>
      </c>
      <c r="BS14">
        <v>256400</v>
      </c>
      <c r="BT14">
        <v>260500</v>
      </c>
      <c r="BU14">
        <v>264400</v>
      </c>
      <c r="BV14">
        <v>268000</v>
      </c>
      <c r="BW14">
        <v>271600</v>
      </c>
      <c r="BX14">
        <v>274900</v>
      </c>
      <c r="BY14">
        <v>278000</v>
      </c>
      <c r="BZ14">
        <v>281200</v>
      </c>
      <c r="CA14">
        <v>284500</v>
      </c>
      <c r="CB14">
        <v>287700</v>
      </c>
      <c r="CC14">
        <v>290700</v>
      </c>
      <c r="CD14">
        <v>293500</v>
      </c>
      <c r="CE14">
        <v>296000</v>
      </c>
      <c r="CF14">
        <v>298300</v>
      </c>
      <c r="CG14">
        <v>300200</v>
      </c>
      <c r="CH14">
        <v>301800</v>
      </c>
      <c r="CI14">
        <v>303300</v>
      </c>
      <c r="CJ14">
        <v>304800</v>
      </c>
      <c r="CK14">
        <v>306000</v>
      </c>
      <c r="CL14">
        <v>307200</v>
      </c>
      <c r="CM14">
        <v>308300</v>
      </c>
      <c r="CN14">
        <v>309000</v>
      </c>
      <c r="CO14">
        <v>309300</v>
      </c>
      <c r="CP14">
        <v>309200</v>
      </c>
      <c r="CQ14">
        <v>308700</v>
      </c>
      <c r="CR14">
        <v>307700</v>
      </c>
      <c r="CS14">
        <v>306400</v>
      </c>
      <c r="CT14">
        <v>304800</v>
      </c>
      <c r="CU14">
        <v>303200</v>
      </c>
      <c r="CV14">
        <v>301600</v>
      </c>
      <c r="CW14">
        <v>300000</v>
      </c>
      <c r="CX14">
        <v>298500</v>
      </c>
      <c r="CY14">
        <v>296900</v>
      </c>
      <c r="CZ14">
        <v>295100</v>
      </c>
      <c r="DA14">
        <v>292800</v>
      </c>
      <c r="DB14">
        <v>290200</v>
      </c>
      <c r="DC14">
        <v>287200</v>
      </c>
      <c r="DD14">
        <v>284300</v>
      </c>
      <c r="DE14">
        <v>281700</v>
      </c>
      <c r="DF14">
        <v>279200</v>
      </c>
      <c r="DG14">
        <v>276900</v>
      </c>
      <c r="DH14">
        <v>274900</v>
      </c>
      <c r="DI14">
        <v>272400</v>
      </c>
      <c r="DJ14">
        <v>269700</v>
      </c>
      <c r="DK14">
        <v>266700</v>
      </c>
      <c r="DL14">
        <v>263600</v>
      </c>
      <c r="DM14">
        <v>260500</v>
      </c>
      <c r="DN14">
        <v>258000</v>
      </c>
      <c r="DO14">
        <v>256200</v>
      </c>
      <c r="DP14">
        <v>254900</v>
      </c>
      <c r="DQ14">
        <v>254000</v>
      </c>
      <c r="DR14">
        <v>253300</v>
      </c>
      <c r="DS14">
        <v>253200</v>
      </c>
      <c r="DT14">
        <v>253500</v>
      </c>
      <c r="DU14">
        <v>253900</v>
      </c>
      <c r="DV14">
        <v>252300</v>
      </c>
      <c r="DW14">
        <v>249800</v>
      </c>
      <c r="DX14">
        <v>247900</v>
      </c>
      <c r="DY14">
        <v>246600</v>
      </c>
      <c r="DZ14">
        <v>244300</v>
      </c>
      <c r="EA14">
        <v>242600</v>
      </c>
      <c r="EB14">
        <v>241000</v>
      </c>
      <c r="EC14">
        <v>239500</v>
      </c>
      <c r="ED14">
        <v>238100</v>
      </c>
      <c r="EE14">
        <v>235900</v>
      </c>
      <c r="EF14">
        <v>233100</v>
      </c>
      <c r="EG14">
        <v>230700</v>
      </c>
      <c r="EH14">
        <v>229100</v>
      </c>
      <c r="EI14">
        <v>227300</v>
      </c>
      <c r="EJ14">
        <v>225400</v>
      </c>
      <c r="EK14">
        <v>223700</v>
      </c>
      <c r="EL14">
        <v>222400</v>
      </c>
      <c r="EM14">
        <v>221100</v>
      </c>
      <c r="EN14">
        <v>219900</v>
      </c>
      <c r="EO14">
        <v>218800</v>
      </c>
      <c r="EP14">
        <v>217800</v>
      </c>
      <c r="EQ14">
        <v>217100</v>
      </c>
      <c r="ER14">
        <v>216500</v>
      </c>
      <c r="ES14">
        <v>216100</v>
      </c>
      <c r="ET14">
        <v>216100</v>
      </c>
      <c r="EU14">
        <v>216500</v>
      </c>
      <c r="EV14">
        <v>216900</v>
      </c>
      <c r="EW14">
        <v>217700</v>
      </c>
      <c r="EX14">
        <v>218700</v>
      </c>
      <c r="EY14">
        <v>219700</v>
      </c>
      <c r="EZ14">
        <v>220600</v>
      </c>
      <c r="FA14">
        <v>221600</v>
      </c>
      <c r="FB14">
        <v>222500</v>
      </c>
      <c r="FC14">
        <v>223500</v>
      </c>
      <c r="FD14">
        <v>224500</v>
      </c>
      <c r="FE14">
        <v>225800</v>
      </c>
      <c r="FF14">
        <v>228100</v>
      </c>
      <c r="FG14">
        <v>230900</v>
      </c>
      <c r="FH14">
        <v>233200</v>
      </c>
      <c r="FI14">
        <v>235100</v>
      </c>
      <c r="FJ14">
        <v>236800</v>
      </c>
      <c r="FK14">
        <v>238600</v>
      </c>
      <c r="FL14">
        <v>240300</v>
      </c>
      <c r="FM14">
        <v>241700</v>
      </c>
      <c r="FN14">
        <v>242900</v>
      </c>
      <c r="FO14">
        <v>244000</v>
      </c>
      <c r="FP14">
        <v>245000</v>
      </c>
      <c r="FQ14">
        <v>245900</v>
      </c>
      <c r="FR14">
        <v>247100</v>
      </c>
      <c r="FS14">
        <v>248100</v>
      </c>
      <c r="FT14">
        <v>249200</v>
      </c>
      <c r="FU14">
        <v>250600</v>
      </c>
      <c r="FV14">
        <v>252300</v>
      </c>
      <c r="FW14">
        <v>253600</v>
      </c>
      <c r="FX14">
        <v>255000</v>
      </c>
      <c r="FY14">
        <v>256800</v>
      </c>
      <c r="FZ14">
        <v>258300</v>
      </c>
      <c r="GA14">
        <v>259900</v>
      </c>
      <c r="GB14">
        <v>261200</v>
      </c>
      <c r="GC14">
        <v>262500</v>
      </c>
      <c r="GD14">
        <v>264100</v>
      </c>
      <c r="GE14">
        <v>266500</v>
      </c>
      <c r="GF14">
        <v>269000</v>
      </c>
      <c r="GG14">
        <v>271200</v>
      </c>
      <c r="GH14">
        <v>273600</v>
      </c>
      <c r="GI14">
        <v>276100</v>
      </c>
      <c r="GJ14">
        <v>278500</v>
      </c>
      <c r="GK14">
        <v>280600</v>
      </c>
      <c r="GL14">
        <v>282900</v>
      </c>
      <c r="GM14">
        <v>285200</v>
      </c>
      <c r="GN14">
        <v>287600</v>
      </c>
      <c r="GO14">
        <v>290000</v>
      </c>
      <c r="GP14">
        <v>292800</v>
      </c>
      <c r="GQ14">
        <v>295800</v>
      </c>
      <c r="GR14">
        <v>298600</v>
      </c>
      <c r="GS14">
        <v>301300</v>
      </c>
      <c r="GT14">
        <v>304700</v>
      </c>
      <c r="GU14">
        <v>308200</v>
      </c>
      <c r="GV14">
        <v>311300</v>
      </c>
      <c r="GW14">
        <v>314400</v>
      </c>
      <c r="GX14">
        <v>317500</v>
      </c>
      <c r="GY14">
        <v>320500</v>
      </c>
      <c r="GZ14">
        <v>323700</v>
      </c>
      <c r="HA14">
        <v>327200</v>
      </c>
      <c r="HB14">
        <v>330500</v>
      </c>
      <c r="HC14">
        <v>333700</v>
      </c>
      <c r="HD14">
        <v>337200</v>
      </c>
      <c r="HE14">
        <v>340100</v>
      </c>
      <c r="HF14">
        <v>342400</v>
      </c>
      <c r="HG14">
        <v>344700</v>
      </c>
      <c r="HH14">
        <v>347100</v>
      </c>
      <c r="HI14">
        <v>349200</v>
      </c>
      <c r="HJ14">
        <v>351800</v>
      </c>
      <c r="HK14">
        <v>354700</v>
      </c>
      <c r="HL14">
        <v>358600</v>
      </c>
      <c r="HM14">
        <v>362500</v>
      </c>
      <c r="HN14">
        <v>365000</v>
      </c>
      <c r="HO14">
        <v>366700</v>
      </c>
      <c r="HP14">
        <v>369400</v>
      </c>
      <c r="HQ14">
        <v>372000</v>
      </c>
      <c r="HR14">
        <v>373200</v>
      </c>
      <c r="HS14">
        <v>374100</v>
      </c>
      <c r="HT14">
        <v>375200</v>
      </c>
    </row>
    <row r="15" spans="1:228" x14ac:dyDescent="0.3">
      <c r="A15">
        <v>26</v>
      </c>
      <c r="B15" t="s">
        <v>241</v>
      </c>
      <c r="C15">
        <v>14</v>
      </c>
      <c r="D15">
        <v>188200</v>
      </c>
      <c r="E15">
        <v>190700</v>
      </c>
      <c r="F15">
        <v>193000</v>
      </c>
      <c r="G15">
        <v>195400</v>
      </c>
      <c r="H15">
        <v>197800</v>
      </c>
      <c r="I15">
        <v>200300</v>
      </c>
      <c r="J15">
        <v>203000</v>
      </c>
      <c r="K15">
        <v>205800</v>
      </c>
      <c r="L15">
        <v>208700</v>
      </c>
      <c r="M15">
        <v>211700</v>
      </c>
      <c r="N15">
        <v>214600</v>
      </c>
      <c r="O15">
        <v>217600</v>
      </c>
      <c r="P15">
        <v>220500</v>
      </c>
      <c r="Q15">
        <v>223300</v>
      </c>
      <c r="R15">
        <v>226100</v>
      </c>
      <c r="S15">
        <v>228900</v>
      </c>
      <c r="T15">
        <v>231900</v>
      </c>
      <c r="U15">
        <v>234900</v>
      </c>
      <c r="V15">
        <v>238100</v>
      </c>
      <c r="W15">
        <v>241300</v>
      </c>
      <c r="X15">
        <v>244300</v>
      </c>
      <c r="Y15">
        <v>247300</v>
      </c>
      <c r="Z15">
        <v>250100</v>
      </c>
      <c r="AA15">
        <v>252800</v>
      </c>
      <c r="AB15">
        <v>255400</v>
      </c>
      <c r="AC15">
        <v>257900</v>
      </c>
      <c r="AD15">
        <v>260400</v>
      </c>
      <c r="AE15">
        <v>263000</v>
      </c>
      <c r="AF15">
        <v>265700</v>
      </c>
      <c r="AG15">
        <v>268500</v>
      </c>
      <c r="AH15">
        <v>271400</v>
      </c>
      <c r="AI15">
        <v>274400</v>
      </c>
      <c r="AJ15">
        <v>277500</v>
      </c>
      <c r="AK15">
        <v>280800</v>
      </c>
      <c r="AL15">
        <v>284100</v>
      </c>
      <c r="AM15">
        <v>287300</v>
      </c>
      <c r="AN15">
        <v>290300</v>
      </c>
      <c r="AO15">
        <v>293100</v>
      </c>
      <c r="AP15">
        <v>295900</v>
      </c>
      <c r="AQ15">
        <v>298600</v>
      </c>
      <c r="AR15">
        <v>301100</v>
      </c>
      <c r="AS15">
        <v>303500</v>
      </c>
      <c r="AT15">
        <v>305600</v>
      </c>
      <c r="AU15">
        <v>307700</v>
      </c>
      <c r="AV15">
        <v>309700</v>
      </c>
      <c r="AW15">
        <v>311800</v>
      </c>
      <c r="AX15">
        <v>314000</v>
      </c>
      <c r="AY15">
        <v>316300</v>
      </c>
      <c r="AZ15">
        <v>318600</v>
      </c>
      <c r="BA15">
        <v>321000</v>
      </c>
      <c r="BB15">
        <v>323500</v>
      </c>
      <c r="BC15">
        <v>325900</v>
      </c>
      <c r="BD15">
        <v>328500</v>
      </c>
      <c r="BE15">
        <v>331200</v>
      </c>
      <c r="BF15">
        <v>334100</v>
      </c>
      <c r="BG15">
        <v>336900</v>
      </c>
      <c r="BH15">
        <v>339700</v>
      </c>
      <c r="BI15">
        <v>342500</v>
      </c>
      <c r="BJ15">
        <v>345000</v>
      </c>
      <c r="BK15">
        <v>347600</v>
      </c>
      <c r="BL15">
        <v>350100</v>
      </c>
      <c r="BM15">
        <v>352600</v>
      </c>
      <c r="BN15">
        <v>355000</v>
      </c>
      <c r="BO15">
        <v>357200</v>
      </c>
      <c r="BP15">
        <v>358800</v>
      </c>
      <c r="BQ15">
        <v>359900</v>
      </c>
      <c r="BR15">
        <v>360600</v>
      </c>
      <c r="BS15">
        <v>360900</v>
      </c>
      <c r="BT15">
        <v>361000</v>
      </c>
      <c r="BU15">
        <v>360800</v>
      </c>
      <c r="BV15">
        <v>360400</v>
      </c>
      <c r="BW15">
        <v>359600</v>
      </c>
      <c r="BX15">
        <v>358700</v>
      </c>
      <c r="BY15">
        <v>357700</v>
      </c>
      <c r="BZ15">
        <v>356600</v>
      </c>
      <c r="CA15">
        <v>355400</v>
      </c>
      <c r="CB15">
        <v>354000</v>
      </c>
      <c r="CC15">
        <v>352300</v>
      </c>
      <c r="CD15">
        <v>350300</v>
      </c>
      <c r="CE15">
        <v>348100</v>
      </c>
      <c r="CF15">
        <v>345900</v>
      </c>
      <c r="CG15">
        <v>343900</v>
      </c>
      <c r="CH15">
        <v>342000</v>
      </c>
      <c r="CI15">
        <v>340400</v>
      </c>
      <c r="CJ15">
        <v>339200</v>
      </c>
      <c r="CK15">
        <v>338400</v>
      </c>
      <c r="CL15">
        <v>337600</v>
      </c>
      <c r="CM15">
        <v>336800</v>
      </c>
      <c r="CN15">
        <v>335800</v>
      </c>
      <c r="CO15">
        <v>334600</v>
      </c>
      <c r="CP15">
        <v>333200</v>
      </c>
      <c r="CQ15">
        <v>331700</v>
      </c>
      <c r="CR15">
        <v>330000</v>
      </c>
      <c r="CS15">
        <v>328200</v>
      </c>
      <c r="CT15">
        <v>326100</v>
      </c>
      <c r="CU15">
        <v>323900</v>
      </c>
      <c r="CV15">
        <v>321600</v>
      </c>
      <c r="CW15">
        <v>319200</v>
      </c>
      <c r="CX15">
        <v>316700</v>
      </c>
      <c r="CY15">
        <v>314100</v>
      </c>
      <c r="CZ15">
        <v>311700</v>
      </c>
      <c r="DA15">
        <v>309500</v>
      </c>
      <c r="DB15">
        <v>307400</v>
      </c>
      <c r="DC15">
        <v>305500</v>
      </c>
      <c r="DD15">
        <v>304100</v>
      </c>
      <c r="DE15">
        <v>302800</v>
      </c>
      <c r="DF15">
        <v>301700</v>
      </c>
      <c r="DG15">
        <v>300700</v>
      </c>
      <c r="DH15">
        <v>299900</v>
      </c>
      <c r="DI15">
        <v>299100</v>
      </c>
      <c r="DJ15">
        <v>297800</v>
      </c>
      <c r="DK15">
        <v>296000</v>
      </c>
      <c r="DL15">
        <v>294000</v>
      </c>
      <c r="DM15">
        <v>292000</v>
      </c>
      <c r="DN15">
        <v>290800</v>
      </c>
      <c r="DO15">
        <v>290600</v>
      </c>
      <c r="DP15">
        <v>290900</v>
      </c>
      <c r="DQ15">
        <v>291400</v>
      </c>
      <c r="DR15">
        <v>291900</v>
      </c>
      <c r="DS15">
        <v>292500</v>
      </c>
      <c r="DT15">
        <v>293300</v>
      </c>
      <c r="DU15">
        <v>294100</v>
      </c>
      <c r="DV15">
        <v>294000</v>
      </c>
      <c r="DW15">
        <v>293500</v>
      </c>
      <c r="DX15">
        <v>293300</v>
      </c>
      <c r="DY15">
        <v>293400</v>
      </c>
      <c r="DZ15">
        <v>293100</v>
      </c>
      <c r="EA15">
        <v>292400</v>
      </c>
      <c r="EB15">
        <v>291600</v>
      </c>
      <c r="EC15">
        <v>290400</v>
      </c>
      <c r="ED15">
        <v>289300</v>
      </c>
      <c r="EE15">
        <v>288200</v>
      </c>
      <c r="EF15">
        <v>286400</v>
      </c>
      <c r="EG15">
        <v>284200</v>
      </c>
      <c r="EH15">
        <v>283200</v>
      </c>
      <c r="EI15">
        <v>283000</v>
      </c>
      <c r="EJ15">
        <v>282300</v>
      </c>
      <c r="EK15">
        <v>281500</v>
      </c>
      <c r="EL15">
        <v>281100</v>
      </c>
      <c r="EM15">
        <v>280400</v>
      </c>
      <c r="EN15">
        <v>279300</v>
      </c>
      <c r="EO15">
        <v>278300</v>
      </c>
      <c r="EP15">
        <v>277300</v>
      </c>
      <c r="EQ15">
        <v>276600</v>
      </c>
      <c r="ER15">
        <v>276000</v>
      </c>
      <c r="ES15">
        <v>275700</v>
      </c>
      <c r="ET15">
        <v>276000</v>
      </c>
      <c r="EU15">
        <v>276800</v>
      </c>
      <c r="EV15">
        <v>277800</v>
      </c>
      <c r="EW15">
        <v>278900</v>
      </c>
      <c r="EX15">
        <v>279900</v>
      </c>
      <c r="EY15">
        <v>280400</v>
      </c>
      <c r="EZ15">
        <v>280900</v>
      </c>
      <c r="FA15">
        <v>281900</v>
      </c>
      <c r="FB15">
        <v>283200</v>
      </c>
      <c r="FC15">
        <v>284300</v>
      </c>
      <c r="FD15">
        <v>285000</v>
      </c>
      <c r="FE15">
        <v>286100</v>
      </c>
      <c r="FF15">
        <v>287800</v>
      </c>
      <c r="FG15">
        <v>290000</v>
      </c>
      <c r="FH15">
        <v>292300</v>
      </c>
      <c r="FI15">
        <v>294800</v>
      </c>
      <c r="FJ15">
        <v>297100</v>
      </c>
      <c r="FK15">
        <v>299100</v>
      </c>
      <c r="FL15">
        <v>300900</v>
      </c>
      <c r="FM15">
        <v>303000</v>
      </c>
      <c r="FN15">
        <v>304500</v>
      </c>
      <c r="FO15">
        <v>305300</v>
      </c>
      <c r="FP15">
        <v>306500</v>
      </c>
      <c r="FQ15">
        <v>308100</v>
      </c>
      <c r="FR15">
        <v>309200</v>
      </c>
      <c r="FS15">
        <v>310200</v>
      </c>
      <c r="FT15">
        <v>311600</v>
      </c>
      <c r="FU15">
        <v>313000</v>
      </c>
      <c r="FV15">
        <v>314200</v>
      </c>
      <c r="FW15">
        <v>315400</v>
      </c>
      <c r="FX15">
        <v>316300</v>
      </c>
      <c r="FY15">
        <v>316800</v>
      </c>
      <c r="FZ15">
        <v>318000</v>
      </c>
      <c r="GA15">
        <v>319700</v>
      </c>
      <c r="GB15">
        <v>321200</v>
      </c>
      <c r="GC15">
        <v>322200</v>
      </c>
      <c r="GD15">
        <v>322900</v>
      </c>
      <c r="GE15">
        <v>323400</v>
      </c>
      <c r="GF15">
        <v>324200</v>
      </c>
      <c r="GG15">
        <v>325200</v>
      </c>
      <c r="GH15">
        <v>326400</v>
      </c>
      <c r="GI15">
        <v>327900</v>
      </c>
      <c r="GJ15">
        <v>329500</v>
      </c>
      <c r="GK15">
        <v>330900</v>
      </c>
      <c r="GL15">
        <v>332300</v>
      </c>
      <c r="GM15">
        <v>333700</v>
      </c>
      <c r="GN15">
        <v>335200</v>
      </c>
      <c r="GO15">
        <v>336600</v>
      </c>
      <c r="GP15">
        <v>338100</v>
      </c>
      <c r="GQ15">
        <v>339800</v>
      </c>
      <c r="GR15">
        <v>341600</v>
      </c>
      <c r="GS15">
        <v>343400</v>
      </c>
      <c r="GT15">
        <v>345400</v>
      </c>
      <c r="GU15">
        <v>347800</v>
      </c>
      <c r="GV15">
        <v>350300</v>
      </c>
      <c r="GW15">
        <v>352800</v>
      </c>
      <c r="GX15">
        <v>355300</v>
      </c>
      <c r="GY15">
        <v>358100</v>
      </c>
      <c r="GZ15">
        <v>361500</v>
      </c>
      <c r="HA15">
        <v>364900</v>
      </c>
      <c r="HB15">
        <v>367900</v>
      </c>
      <c r="HC15">
        <v>370300</v>
      </c>
      <c r="HD15">
        <v>372300</v>
      </c>
      <c r="HE15">
        <v>373500</v>
      </c>
      <c r="HF15">
        <v>374300</v>
      </c>
      <c r="HG15">
        <v>375700</v>
      </c>
      <c r="HH15">
        <v>378100</v>
      </c>
      <c r="HI15">
        <v>380400</v>
      </c>
      <c r="HJ15">
        <v>382400</v>
      </c>
      <c r="HK15">
        <v>384000</v>
      </c>
      <c r="HL15">
        <v>386400</v>
      </c>
      <c r="HM15">
        <v>389600</v>
      </c>
      <c r="HN15">
        <v>391600</v>
      </c>
      <c r="HO15">
        <v>392900</v>
      </c>
      <c r="HP15">
        <v>394800</v>
      </c>
      <c r="HQ15">
        <v>396900</v>
      </c>
      <c r="HR15">
        <v>398500</v>
      </c>
      <c r="HS15">
        <v>400100</v>
      </c>
      <c r="HT15">
        <v>401500</v>
      </c>
    </row>
    <row r="16" spans="1:228" x14ac:dyDescent="0.3">
      <c r="A16">
        <v>22</v>
      </c>
      <c r="B16" t="s">
        <v>242</v>
      </c>
      <c r="C16">
        <v>15</v>
      </c>
      <c r="D16">
        <v>92900</v>
      </c>
      <c r="E16">
        <v>93000</v>
      </c>
      <c r="F16">
        <v>93100</v>
      </c>
      <c r="G16">
        <v>93100</v>
      </c>
      <c r="H16">
        <v>93100</v>
      </c>
      <c r="I16">
        <v>93200</v>
      </c>
      <c r="J16">
        <v>93400</v>
      </c>
      <c r="K16">
        <v>93700</v>
      </c>
      <c r="L16">
        <v>94100</v>
      </c>
      <c r="M16">
        <v>94700</v>
      </c>
      <c r="N16">
        <v>95500</v>
      </c>
      <c r="O16">
        <v>96400</v>
      </c>
      <c r="P16">
        <v>97400</v>
      </c>
      <c r="Q16">
        <v>98300</v>
      </c>
      <c r="R16">
        <v>99200</v>
      </c>
      <c r="S16">
        <v>99900</v>
      </c>
      <c r="T16">
        <v>100600</v>
      </c>
      <c r="U16">
        <v>101200</v>
      </c>
      <c r="V16">
        <v>101800</v>
      </c>
      <c r="W16">
        <v>102300</v>
      </c>
      <c r="X16">
        <v>102800</v>
      </c>
      <c r="Y16">
        <v>103100</v>
      </c>
      <c r="Z16">
        <v>103300</v>
      </c>
      <c r="AA16">
        <v>103500</v>
      </c>
      <c r="AB16">
        <v>103500</v>
      </c>
      <c r="AC16">
        <v>103600</v>
      </c>
      <c r="AD16">
        <v>103500</v>
      </c>
      <c r="AE16">
        <v>103400</v>
      </c>
      <c r="AF16">
        <v>103300</v>
      </c>
      <c r="AG16">
        <v>103200</v>
      </c>
      <c r="AH16">
        <v>103100</v>
      </c>
      <c r="AI16">
        <v>103100</v>
      </c>
      <c r="AJ16">
        <v>103100</v>
      </c>
      <c r="AK16">
        <v>103300</v>
      </c>
      <c r="AL16">
        <v>103400</v>
      </c>
      <c r="AM16">
        <v>103600</v>
      </c>
      <c r="AN16">
        <v>103900</v>
      </c>
      <c r="AO16">
        <v>104200</v>
      </c>
      <c r="AP16">
        <v>104600</v>
      </c>
      <c r="AQ16">
        <v>105000</v>
      </c>
      <c r="AR16">
        <v>105300</v>
      </c>
      <c r="AS16">
        <v>105300</v>
      </c>
      <c r="AT16">
        <v>105200</v>
      </c>
      <c r="AU16">
        <v>104900</v>
      </c>
      <c r="AV16">
        <v>104500</v>
      </c>
      <c r="AW16">
        <v>104200</v>
      </c>
      <c r="AX16">
        <v>104000</v>
      </c>
      <c r="AY16">
        <v>103800</v>
      </c>
      <c r="AZ16">
        <v>103900</v>
      </c>
      <c r="BA16">
        <v>104000</v>
      </c>
      <c r="BB16">
        <v>104300</v>
      </c>
      <c r="BC16">
        <v>104600</v>
      </c>
      <c r="BD16">
        <v>105000</v>
      </c>
      <c r="BE16">
        <v>105400</v>
      </c>
      <c r="BF16">
        <v>105700</v>
      </c>
      <c r="BG16">
        <v>105900</v>
      </c>
      <c r="BH16">
        <v>106200</v>
      </c>
      <c r="BI16">
        <v>106400</v>
      </c>
      <c r="BJ16">
        <v>106800</v>
      </c>
      <c r="BK16">
        <v>107500</v>
      </c>
      <c r="BL16">
        <v>108300</v>
      </c>
      <c r="BM16">
        <v>109100</v>
      </c>
      <c r="BN16">
        <v>109900</v>
      </c>
      <c r="BO16">
        <v>110700</v>
      </c>
      <c r="BP16">
        <v>111500</v>
      </c>
      <c r="BQ16">
        <v>112200</v>
      </c>
      <c r="BR16">
        <v>112800</v>
      </c>
      <c r="BS16">
        <v>113400</v>
      </c>
      <c r="BT16">
        <v>113900</v>
      </c>
      <c r="BU16">
        <v>114300</v>
      </c>
      <c r="BV16">
        <v>114600</v>
      </c>
      <c r="BW16">
        <v>114800</v>
      </c>
      <c r="BX16">
        <v>114900</v>
      </c>
      <c r="BY16">
        <v>114900</v>
      </c>
      <c r="BZ16">
        <v>114900</v>
      </c>
      <c r="CA16">
        <v>115000</v>
      </c>
      <c r="CB16">
        <v>115200</v>
      </c>
      <c r="CC16">
        <v>115400</v>
      </c>
      <c r="CD16">
        <v>115900</v>
      </c>
      <c r="CE16">
        <v>116400</v>
      </c>
      <c r="CF16">
        <v>116800</v>
      </c>
      <c r="CG16">
        <v>117200</v>
      </c>
      <c r="CH16">
        <v>117400</v>
      </c>
      <c r="CI16">
        <v>117600</v>
      </c>
      <c r="CJ16">
        <v>117700</v>
      </c>
      <c r="CK16">
        <v>117800</v>
      </c>
      <c r="CL16">
        <v>117900</v>
      </c>
      <c r="CM16">
        <v>117900</v>
      </c>
      <c r="CN16">
        <v>117900</v>
      </c>
      <c r="CO16">
        <v>117800</v>
      </c>
      <c r="CP16">
        <v>117700</v>
      </c>
      <c r="CQ16">
        <v>117500</v>
      </c>
      <c r="CR16">
        <v>117500</v>
      </c>
      <c r="CS16">
        <v>117600</v>
      </c>
      <c r="CT16">
        <v>117700</v>
      </c>
      <c r="CU16">
        <v>117900</v>
      </c>
      <c r="CV16">
        <v>118000</v>
      </c>
      <c r="CW16">
        <v>117900</v>
      </c>
      <c r="CX16">
        <v>117900</v>
      </c>
      <c r="CY16">
        <v>117800</v>
      </c>
      <c r="CZ16">
        <v>117600</v>
      </c>
      <c r="DA16">
        <v>117200</v>
      </c>
      <c r="DB16">
        <v>116700</v>
      </c>
      <c r="DC16">
        <v>116200</v>
      </c>
      <c r="DD16">
        <v>115500</v>
      </c>
      <c r="DE16">
        <v>114900</v>
      </c>
      <c r="DF16">
        <v>114300</v>
      </c>
      <c r="DG16">
        <v>113800</v>
      </c>
      <c r="DH16">
        <v>113300</v>
      </c>
      <c r="DI16">
        <v>112800</v>
      </c>
      <c r="DJ16">
        <v>112300</v>
      </c>
      <c r="DK16">
        <v>111800</v>
      </c>
      <c r="DL16">
        <v>111200</v>
      </c>
      <c r="DM16">
        <v>110500</v>
      </c>
      <c r="DN16">
        <v>109900</v>
      </c>
      <c r="DO16">
        <v>109400</v>
      </c>
      <c r="DP16">
        <v>109000</v>
      </c>
      <c r="DQ16">
        <v>108500</v>
      </c>
      <c r="DR16">
        <v>108200</v>
      </c>
      <c r="DS16">
        <v>108000</v>
      </c>
      <c r="DT16">
        <v>107900</v>
      </c>
      <c r="DU16">
        <v>107900</v>
      </c>
      <c r="DV16">
        <v>107700</v>
      </c>
      <c r="DW16">
        <v>107400</v>
      </c>
      <c r="DX16">
        <v>107600</v>
      </c>
      <c r="DY16">
        <v>107900</v>
      </c>
      <c r="DZ16">
        <v>108000</v>
      </c>
      <c r="EA16">
        <v>108000</v>
      </c>
      <c r="EB16">
        <v>108200</v>
      </c>
      <c r="EC16">
        <v>108300</v>
      </c>
      <c r="ED16">
        <v>108200</v>
      </c>
      <c r="EE16">
        <v>108000</v>
      </c>
      <c r="EF16">
        <v>107800</v>
      </c>
      <c r="EG16">
        <v>107500</v>
      </c>
      <c r="EH16">
        <v>107100</v>
      </c>
      <c r="EI16">
        <v>106700</v>
      </c>
      <c r="EJ16">
        <v>106100</v>
      </c>
      <c r="EK16">
        <v>105600</v>
      </c>
      <c r="EL16">
        <v>105300</v>
      </c>
      <c r="EM16">
        <v>105000</v>
      </c>
      <c r="EN16">
        <v>104800</v>
      </c>
      <c r="EO16">
        <v>104700</v>
      </c>
      <c r="EP16">
        <v>104700</v>
      </c>
      <c r="EQ16">
        <v>104300</v>
      </c>
      <c r="ER16">
        <v>104000</v>
      </c>
      <c r="ES16">
        <v>104000</v>
      </c>
      <c r="ET16">
        <v>104200</v>
      </c>
      <c r="EU16">
        <v>104200</v>
      </c>
      <c r="EV16">
        <v>104300</v>
      </c>
      <c r="EW16">
        <v>104500</v>
      </c>
      <c r="EX16">
        <v>104800</v>
      </c>
      <c r="EY16">
        <v>105000</v>
      </c>
      <c r="EZ16">
        <v>105100</v>
      </c>
      <c r="FA16">
        <v>105200</v>
      </c>
      <c r="FB16">
        <v>105200</v>
      </c>
      <c r="FC16">
        <v>105400</v>
      </c>
      <c r="FD16">
        <v>105400</v>
      </c>
      <c r="FE16">
        <v>105100</v>
      </c>
      <c r="FF16">
        <v>104800</v>
      </c>
      <c r="FG16">
        <v>104700</v>
      </c>
      <c r="FH16">
        <v>104700</v>
      </c>
      <c r="FI16">
        <v>104500</v>
      </c>
      <c r="FJ16">
        <v>104400</v>
      </c>
      <c r="FK16">
        <v>104300</v>
      </c>
      <c r="FL16">
        <v>104200</v>
      </c>
      <c r="FM16">
        <v>104100</v>
      </c>
      <c r="FN16">
        <v>104200</v>
      </c>
      <c r="FO16">
        <v>104400</v>
      </c>
      <c r="FP16">
        <v>104500</v>
      </c>
      <c r="FQ16">
        <v>104600</v>
      </c>
      <c r="FR16">
        <v>104900</v>
      </c>
      <c r="FS16">
        <v>105100</v>
      </c>
      <c r="FT16">
        <v>105400</v>
      </c>
      <c r="FU16">
        <v>105900</v>
      </c>
      <c r="FV16">
        <v>106200</v>
      </c>
      <c r="FW16">
        <v>106300</v>
      </c>
      <c r="FX16">
        <v>106600</v>
      </c>
      <c r="FY16">
        <v>107100</v>
      </c>
      <c r="FZ16">
        <v>107600</v>
      </c>
      <c r="GA16">
        <v>108100</v>
      </c>
      <c r="GB16">
        <v>108500</v>
      </c>
      <c r="GC16">
        <v>108700</v>
      </c>
      <c r="GD16">
        <v>108900</v>
      </c>
      <c r="GE16">
        <v>109300</v>
      </c>
      <c r="GF16">
        <v>109700</v>
      </c>
      <c r="GG16">
        <v>110000</v>
      </c>
      <c r="GH16">
        <v>110300</v>
      </c>
      <c r="GI16">
        <v>110700</v>
      </c>
      <c r="GJ16">
        <v>111100</v>
      </c>
      <c r="GK16">
        <v>111500</v>
      </c>
      <c r="GL16">
        <v>111700</v>
      </c>
      <c r="GM16">
        <v>112000</v>
      </c>
      <c r="GN16">
        <v>112600</v>
      </c>
      <c r="GO16">
        <v>113200</v>
      </c>
      <c r="GP16">
        <v>113800</v>
      </c>
      <c r="GQ16">
        <v>114400</v>
      </c>
      <c r="GR16">
        <v>115200</v>
      </c>
      <c r="GS16">
        <v>116000</v>
      </c>
      <c r="GT16">
        <v>116700</v>
      </c>
      <c r="GU16">
        <v>117300</v>
      </c>
      <c r="GV16">
        <v>118100</v>
      </c>
      <c r="GW16">
        <v>118800</v>
      </c>
      <c r="GX16">
        <v>119400</v>
      </c>
      <c r="GY16">
        <v>119900</v>
      </c>
      <c r="GZ16">
        <v>120600</v>
      </c>
      <c r="HA16">
        <v>121200</v>
      </c>
      <c r="HB16">
        <v>122000</v>
      </c>
      <c r="HC16">
        <v>122900</v>
      </c>
      <c r="HD16">
        <v>123600</v>
      </c>
      <c r="HE16">
        <v>124000</v>
      </c>
      <c r="HF16">
        <v>124400</v>
      </c>
      <c r="HG16">
        <v>125000</v>
      </c>
      <c r="HH16">
        <v>125500</v>
      </c>
      <c r="HI16">
        <v>126100</v>
      </c>
      <c r="HJ16">
        <v>127100</v>
      </c>
      <c r="HK16">
        <v>128000</v>
      </c>
      <c r="HL16">
        <v>128700</v>
      </c>
      <c r="HM16">
        <v>129800</v>
      </c>
      <c r="HN16">
        <v>130900</v>
      </c>
      <c r="HO16">
        <v>131900</v>
      </c>
      <c r="HP16">
        <v>132800</v>
      </c>
      <c r="HQ16">
        <v>133800</v>
      </c>
      <c r="HR16">
        <v>135000</v>
      </c>
      <c r="HS16">
        <v>136400</v>
      </c>
      <c r="HT16">
        <v>137300</v>
      </c>
    </row>
    <row r="17" spans="1:228" x14ac:dyDescent="0.3">
      <c r="A17">
        <v>8</v>
      </c>
      <c r="B17" t="s">
        <v>243</v>
      </c>
      <c r="C17">
        <v>16</v>
      </c>
      <c r="D17">
        <v>123700</v>
      </c>
      <c r="E17">
        <v>124200</v>
      </c>
      <c r="F17">
        <v>124500</v>
      </c>
      <c r="G17">
        <v>124800</v>
      </c>
      <c r="H17">
        <v>125200</v>
      </c>
      <c r="I17">
        <v>125600</v>
      </c>
      <c r="J17">
        <v>126000</v>
      </c>
      <c r="K17">
        <v>126400</v>
      </c>
      <c r="L17">
        <v>126900</v>
      </c>
      <c r="M17">
        <v>127500</v>
      </c>
      <c r="N17">
        <v>128100</v>
      </c>
      <c r="O17">
        <v>128900</v>
      </c>
      <c r="P17">
        <v>129800</v>
      </c>
      <c r="Q17">
        <v>130600</v>
      </c>
      <c r="R17">
        <v>131300</v>
      </c>
      <c r="S17">
        <v>132000</v>
      </c>
      <c r="T17">
        <v>132600</v>
      </c>
      <c r="U17">
        <v>133300</v>
      </c>
      <c r="V17">
        <v>133800</v>
      </c>
      <c r="W17">
        <v>134300</v>
      </c>
      <c r="X17">
        <v>134700</v>
      </c>
      <c r="Y17">
        <v>135300</v>
      </c>
      <c r="Z17">
        <v>135900</v>
      </c>
      <c r="AA17">
        <v>136600</v>
      </c>
      <c r="AB17">
        <v>137300</v>
      </c>
      <c r="AC17">
        <v>138100</v>
      </c>
      <c r="AD17">
        <v>138700</v>
      </c>
      <c r="AE17">
        <v>139400</v>
      </c>
      <c r="AF17">
        <v>140000</v>
      </c>
      <c r="AG17">
        <v>140500</v>
      </c>
      <c r="AH17">
        <v>140900</v>
      </c>
      <c r="AI17">
        <v>141500</v>
      </c>
      <c r="AJ17">
        <v>142200</v>
      </c>
      <c r="AK17">
        <v>143000</v>
      </c>
      <c r="AL17">
        <v>143900</v>
      </c>
      <c r="AM17">
        <v>144900</v>
      </c>
      <c r="AN17">
        <v>145700</v>
      </c>
      <c r="AO17">
        <v>146500</v>
      </c>
      <c r="AP17">
        <v>147300</v>
      </c>
      <c r="AQ17">
        <v>147900</v>
      </c>
      <c r="AR17">
        <v>148500</v>
      </c>
      <c r="AS17">
        <v>149200</v>
      </c>
      <c r="AT17">
        <v>149800</v>
      </c>
      <c r="AU17">
        <v>150600</v>
      </c>
      <c r="AV17">
        <v>151400</v>
      </c>
      <c r="AW17">
        <v>152300</v>
      </c>
      <c r="AX17">
        <v>153200</v>
      </c>
      <c r="AY17">
        <v>154200</v>
      </c>
      <c r="AZ17">
        <v>155300</v>
      </c>
      <c r="BA17">
        <v>156500</v>
      </c>
      <c r="BB17">
        <v>157900</v>
      </c>
      <c r="BC17">
        <v>159500</v>
      </c>
      <c r="BD17">
        <v>161300</v>
      </c>
      <c r="BE17">
        <v>163400</v>
      </c>
      <c r="BF17">
        <v>166000</v>
      </c>
      <c r="BG17">
        <v>169000</v>
      </c>
      <c r="BH17">
        <v>172300</v>
      </c>
      <c r="BI17">
        <v>176000</v>
      </c>
      <c r="BJ17">
        <v>180000</v>
      </c>
      <c r="BK17">
        <v>184500</v>
      </c>
      <c r="BL17">
        <v>189200</v>
      </c>
      <c r="BM17">
        <v>194200</v>
      </c>
      <c r="BN17">
        <v>199800</v>
      </c>
      <c r="BO17">
        <v>206200</v>
      </c>
      <c r="BP17">
        <v>213200</v>
      </c>
      <c r="BQ17">
        <v>220900</v>
      </c>
      <c r="BR17">
        <v>228800</v>
      </c>
      <c r="BS17">
        <v>236400</v>
      </c>
      <c r="BT17">
        <v>243300</v>
      </c>
      <c r="BU17">
        <v>249400</v>
      </c>
      <c r="BV17">
        <v>254400</v>
      </c>
      <c r="BW17">
        <v>258400</v>
      </c>
      <c r="BX17">
        <v>261600</v>
      </c>
      <c r="BY17">
        <v>264100</v>
      </c>
      <c r="BZ17">
        <v>266400</v>
      </c>
      <c r="CA17">
        <v>268300</v>
      </c>
      <c r="CB17">
        <v>269300</v>
      </c>
      <c r="CC17">
        <v>269400</v>
      </c>
      <c r="CD17">
        <v>268600</v>
      </c>
      <c r="CE17">
        <v>267200</v>
      </c>
      <c r="CF17">
        <v>265300</v>
      </c>
      <c r="CG17">
        <v>263300</v>
      </c>
      <c r="CH17">
        <v>261300</v>
      </c>
      <c r="CI17">
        <v>259400</v>
      </c>
      <c r="CJ17">
        <v>257800</v>
      </c>
      <c r="CK17">
        <v>256300</v>
      </c>
      <c r="CL17">
        <v>254800</v>
      </c>
      <c r="CM17">
        <v>253400</v>
      </c>
      <c r="CN17">
        <v>251900</v>
      </c>
      <c r="CO17">
        <v>250100</v>
      </c>
      <c r="CP17">
        <v>247800</v>
      </c>
      <c r="CQ17">
        <v>245200</v>
      </c>
      <c r="CR17">
        <v>242200</v>
      </c>
      <c r="CS17">
        <v>238900</v>
      </c>
      <c r="CT17">
        <v>235400</v>
      </c>
      <c r="CU17">
        <v>231700</v>
      </c>
      <c r="CV17">
        <v>227800</v>
      </c>
      <c r="CW17">
        <v>223600</v>
      </c>
      <c r="CX17">
        <v>219400</v>
      </c>
      <c r="CY17">
        <v>215400</v>
      </c>
      <c r="CZ17">
        <v>211700</v>
      </c>
      <c r="DA17">
        <v>208000</v>
      </c>
      <c r="DB17">
        <v>204500</v>
      </c>
      <c r="DC17">
        <v>201100</v>
      </c>
      <c r="DD17">
        <v>197700</v>
      </c>
      <c r="DE17">
        <v>194300</v>
      </c>
      <c r="DF17">
        <v>190900</v>
      </c>
      <c r="DG17">
        <v>187600</v>
      </c>
      <c r="DH17">
        <v>184200</v>
      </c>
      <c r="DI17">
        <v>180700</v>
      </c>
      <c r="DJ17">
        <v>177100</v>
      </c>
      <c r="DK17">
        <v>173500</v>
      </c>
      <c r="DL17">
        <v>170000</v>
      </c>
      <c r="DM17">
        <v>166700</v>
      </c>
      <c r="DN17">
        <v>164100</v>
      </c>
      <c r="DO17">
        <v>162200</v>
      </c>
      <c r="DP17">
        <v>160500</v>
      </c>
      <c r="DQ17">
        <v>159100</v>
      </c>
      <c r="DR17">
        <v>158100</v>
      </c>
      <c r="DS17">
        <v>157500</v>
      </c>
      <c r="DT17">
        <v>157100</v>
      </c>
      <c r="DU17">
        <v>156900</v>
      </c>
      <c r="DV17">
        <v>156100</v>
      </c>
      <c r="DW17">
        <v>154700</v>
      </c>
      <c r="DX17">
        <v>153200</v>
      </c>
      <c r="DY17">
        <v>151800</v>
      </c>
      <c r="DZ17">
        <v>149900</v>
      </c>
      <c r="EA17">
        <v>147900</v>
      </c>
      <c r="EB17">
        <v>146200</v>
      </c>
      <c r="EC17">
        <v>144800</v>
      </c>
      <c r="ED17">
        <v>143100</v>
      </c>
      <c r="EE17">
        <v>141500</v>
      </c>
      <c r="EF17">
        <v>140400</v>
      </c>
      <c r="EG17">
        <v>139700</v>
      </c>
      <c r="EH17">
        <v>138800</v>
      </c>
      <c r="EI17">
        <v>137500</v>
      </c>
      <c r="EJ17">
        <v>135900</v>
      </c>
      <c r="EK17">
        <v>134400</v>
      </c>
      <c r="EL17">
        <v>133000</v>
      </c>
      <c r="EM17">
        <v>132000</v>
      </c>
      <c r="EN17">
        <v>131600</v>
      </c>
      <c r="EO17">
        <v>131800</v>
      </c>
      <c r="EP17">
        <v>132400</v>
      </c>
      <c r="EQ17">
        <v>133100</v>
      </c>
      <c r="ER17">
        <v>133900</v>
      </c>
      <c r="ES17">
        <v>135000</v>
      </c>
      <c r="ET17">
        <v>136700</v>
      </c>
      <c r="EU17">
        <v>138800</v>
      </c>
      <c r="EV17">
        <v>141100</v>
      </c>
      <c r="EW17">
        <v>143300</v>
      </c>
      <c r="EX17">
        <v>145600</v>
      </c>
      <c r="EY17">
        <v>148000</v>
      </c>
      <c r="EZ17">
        <v>150000</v>
      </c>
      <c r="FA17">
        <v>151500</v>
      </c>
      <c r="FB17">
        <v>153100</v>
      </c>
      <c r="FC17">
        <v>155000</v>
      </c>
      <c r="FD17">
        <v>156400</v>
      </c>
      <c r="FE17">
        <v>157900</v>
      </c>
      <c r="FF17">
        <v>159900</v>
      </c>
      <c r="FG17">
        <v>162000</v>
      </c>
      <c r="FH17">
        <v>164200</v>
      </c>
      <c r="FI17">
        <v>166500</v>
      </c>
      <c r="FJ17">
        <v>168900</v>
      </c>
      <c r="FK17">
        <v>170600</v>
      </c>
      <c r="FL17">
        <v>172200</v>
      </c>
      <c r="FM17">
        <v>173700</v>
      </c>
      <c r="FN17">
        <v>174900</v>
      </c>
      <c r="FO17">
        <v>176000</v>
      </c>
      <c r="FP17">
        <v>177000</v>
      </c>
      <c r="FQ17">
        <v>177300</v>
      </c>
      <c r="FR17">
        <v>177500</v>
      </c>
      <c r="FS17">
        <v>178100</v>
      </c>
      <c r="FT17">
        <v>178900</v>
      </c>
      <c r="FU17">
        <v>179500</v>
      </c>
      <c r="FV17">
        <v>179900</v>
      </c>
      <c r="FW17">
        <v>180400</v>
      </c>
      <c r="FX17">
        <v>181200</v>
      </c>
      <c r="FY17">
        <v>182100</v>
      </c>
      <c r="FZ17">
        <v>183000</v>
      </c>
      <c r="GA17">
        <v>183700</v>
      </c>
      <c r="GB17">
        <v>184200</v>
      </c>
      <c r="GC17">
        <v>184900</v>
      </c>
      <c r="GD17">
        <v>185800</v>
      </c>
      <c r="GE17">
        <v>186800</v>
      </c>
      <c r="GF17">
        <v>188100</v>
      </c>
      <c r="GG17">
        <v>189500</v>
      </c>
      <c r="GH17">
        <v>191000</v>
      </c>
      <c r="GI17">
        <v>192600</v>
      </c>
      <c r="GJ17">
        <v>194100</v>
      </c>
      <c r="GK17">
        <v>195400</v>
      </c>
      <c r="GL17">
        <v>196600</v>
      </c>
      <c r="GM17">
        <v>198000</v>
      </c>
      <c r="GN17">
        <v>199300</v>
      </c>
      <c r="GO17">
        <v>200200</v>
      </c>
      <c r="GP17">
        <v>201200</v>
      </c>
      <c r="GQ17">
        <v>202600</v>
      </c>
      <c r="GR17">
        <v>204000</v>
      </c>
      <c r="GS17">
        <v>205600</v>
      </c>
      <c r="GT17">
        <v>207400</v>
      </c>
      <c r="GU17">
        <v>209100</v>
      </c>
      <c r="GV17">
        <v>210600</v>
      </c>
      <c r="GW17">
        <v>212100</v>
      </c>
      <c r="GX17">
        <v>213900</v>
      </c>
      <c r="GY17">
        <v>215300</v>
      </c>
      <c r="GZ17">
        <v>216200</v>
      </c>
      <c r="HA17">
        <v>217200</v>
      </c>
      <c r="HB17">
        <v>218700</v>
      </c>
      <c r="HC17">
        <v>220300</v>
      </c>
      <c r="HD17">
        <v>221700</v>
      </c>
      <c r="HE17">
        <v>223100</v>
      </c>
      <c r="HF17">
        <v>224400</v>
      </c>
      <c r="HG17">
        <v>225800</v>
      </c>
      <c r="HH17">
        <v>227100</v>
      </c>
      <c r="HI17">
        <v>228600</v>
      </c>
      <c r="HJ17">
        <v>229800</v>
      </c>
      <c r="HK17">
        <v>230900</v>
      </c>
      <c r="HL17">
        <v>232900</v>
      </c>
      <c r="HM17">
        <v>235000</v>
      </c>
      <c r="HN17">
        <v>236500</v>
      </c>
      <c r="HO17">
        <v>237700</v>
      </c>
      <c r="HP17">
        <v>239200</v>
      </c>
      <c r="HQ17">
        <v>240600</v>
      </c>
      <c r="HR17">
        <v>242100</v>
      </c>
      <c r="HS17">
        <v>243500</v>
      </c>
      <c r="HT17">
        <v>244600</v>
      </c>
    </row>
    <row r="18" spans="1:228" x14ac:dyDescent="0.3">
      <c r="A18">
        <v>53</v>
      </c>
      <c r="B18" t="s">
        <v>244</v>
      </c>
      <c r="C18">
        <v>17</v>
      </c>
      <c r="D18">
        <v>85400</v>
      </c>
      <c r="E18">
        <v>85700</v>
      </c>
      <c r="F18">
        <v>86000</v>
      </c>
      <c r="G18">
        <v>86300</v>
      </c>
      <c r="H18">
        <v>86500</v>
      </c>
      <c r="I18">
        <v>86600</v>
      </c>
      <c r="J18">
        <v>86800</v>
      </c>
      <c r="K18">
        <v>86900</v>
      </c>
      <c r="L18">
        <v>87000</v>
      </c>
      <c r="M18">
        <v>87200</v>
      </c>
      <c r="N18">
        <v>87400</v>
      </c>
      <c r="O18">
        <v>87600</v>
      </c>
      <c r="P18">
        <v>88000</v>
      </c>
      <c r="Q18">
        <v>88400</v>
      </c>
      <c r="R18">
        <v>88700</v>
      </c>
      <c r="S18">
        <v>89000</v>
      </c>
      <c r="T18">
        <v>89300</v>
      </c>
      <c r="U18">
        <v>89600</v>
      </c>
      <c r="V18">
        <v>89800</v>
      </c>
      <c r="W18">
        <v>90000</v>
      </c>
      <c r="X18">
        <v>90100</v>
      </c>
      <c r="Y18">
        <v>90300</v>
      </c>
      <c r="Z18">
        <v>90500</v>
      </c>
      <c r="AA18">
        <v>90700</v>
      </c>
      <c r="AB18">
        <v>90900</v>
      </c>
      <c r="AC18">
        <v>91000</v>
      </c>
      <c r="AD18">
        <v>91200</v>
      </c>
      <c r="AE18">
        <v>91300</v>
      </c>
      <c r="AF18">
        <v>91400</v>
      </c>
      <c r="AG18">
        <v>91600</v>
      </c>
      <c r="AH18">
        <v>91700</v>
      </c>
      <c r="AI18">
        <v>92000</v>
      </c>
      <c r="AJ18">
        <v>92300</v>
      </c>
      <c r="AK18">
        <v>92700</v>
      </c>
      <c r="AL18">
        <v>93200</v>
      </c>
      <c r="AM18">
        <v>93600</v>
      </c>
      <c r="AN18">
        <v>93900</v>
      </c>
      <c r="AO18">
        <v>94100</v>
      </c>
      <c r="AP18">
        <v>94400</v>
      </c>
      <c r="AQ18">
        <v>94500</v>
      </c>
      <c r="AR18">
        <v>94800</v>
      </c>
      <c r="AS18">
        <v>95100</v>
      </c>
      <c r="AT18">
        <v>95400</v>
      </c>
      <c r="AU18">
        <v>95800</v>
      </c>
      <c r="AV18">
        <v>96200</v>
      </c>
      <c r="AW18">
        <v>96600</v>
      </c>
      <c r="AX18">
        <v>97100</v>
      </c>
      <c r="AY18">
        <v>97500</v>
      </c>
      <c r="AZ18">
        <v>97900</v>
      </c>
      <c r="BA18">
        <v>98300</v>
      </c>
      <c r="BB18">
        <v>98800</v>
      </c>
      <c r="BC18">
        <v>99300</v>
      </c>
      <c r="BD18">
        <v>99900</v>
      </c>
      <c r="BE18">
        <v>100500</v>
      </c>
      <c r="BF18">
        <v>101200</v>
      </c>
      <c r="BG18">
        <v>101800</v>
      </c>
      <c r="BH18">
        <v>102500</v>
      </c>
      <c r="BI18">
        <v>103200</v>
      </c>
      <c r="BJ18">
        <v>103900</v>
      </c>
      <c r="BK18">
        <v>104600</v>
      </c>
      <c r="BL18">
        <v>105300</v>
      </c>
      <c r="BM18">
        <v>106100</v>
      </c>
      <c r="BN18">
        <v>106900</v>
      </c>
      <c r="BO18">
        <v>107800</v>
      </c>
      <c r="BP18">
        <v>108800</v>
      </c>
      <c r="BQ18">
        <v>109700</v>
      </c>
      <c r="BR18">
        <v>110700</v>
      </c>
      <c r="BS18">
        <v>111700</v>
      </c>
      <c r="BT18">
        <v>112600</v>
      </c>
      <c r="BU18">
        <v>113500</v>
      </c>
      <c r="BV18">
        <v>114300</v>
      </c>
      <c r="BW18">
        <v>115200</v>
      </c>
      <c r="BX18">
        <v>116000</v>
      </c>
      <c r="BY18">
        <v>116700</v>
      </c>
      <c r="BZ18">
        <v>117400</v>
      </c>
      <c r="CA18">
        <v>118000</v>
      </c>
      <c r="CB18">
        <v>118600</v>
      </c>
      <c r="CC18">
        <v>119300</v>
      </c>
      <c r="CD18">
        <v>120100</v>
      </c>
      <c r="CE18">
        <v>120700</v>
      </c>
      <c r="CF18">
        <v>121400</v>
      </c>
      <c r="CG18">
        <v>122000</v>
      </c>
      <c r="CH18">
        <v>122500</v>
      </c>
      <c r="CI18">
        <v>122900</v>
      </c>
      <c r="CJ18">
        <v>123400</v>
      </c>
      <c r="CK18">
        <v>123800</v>
      </c>
      <c r="CL18">
        <v>124300</v>
      </c>
      <c r="CM18">
        <v>124700</v>
      </c>
      <c r="CN18">
        <v>125100</v>
      </c>
      <c r="CO18">
        <v>125300</v>
      </c>
      <c r="CP18">
        <v>125400</v>
      </c>
      <c r="CQ18">
        <v>125400</v>
      </c>
      <c r="CR18">
        <v>125400</v>
      </c>
      <c r="CS18">
        <v>125300</v>
      </c>
      <c r="CT18">
        <v>125100</v>
      </c>
      <c r="CU18">
        <v>125000</v>
      </c>
      <c r="CV18">
        <v>124800</v>
      </c>
      <c r="CW18">
        <v>124700</v>
      </c>
      <c r="CX18">
        <v>124700</v>
      </c>
      <c r="CY18">
        <v>124600</v>
      </c>
      <c r="CZ18">
        <v>124400</v>
      </c>
      <c r="DA18">
        <v>124000</v>
      </c>
      <c r="DB18">
        <v>123500</v>
      </c>
      <c r="DC18">
        <v>122900</v>
      </c>
      <c r="DD18">
        <v>122400</v>
      </c>
      <c r="DE18">
        <v>121900</v>
      </c>
      <c r="DF18">
        <v>121500</v>
      </c>
      <c r="DG18">
        <v>121200</v>
      </c>
      <c r="DH18">
        <v>120900</v>
      </c>
      <c r="DI18">
        <v>120600</v>
      </c>
      <c r="DJ18">
        <v>120300</v>
      </c>
      <c r="DK18">
        <v>120000</v>
      </c>
      <c r="DL18">
        <v>119500</v>
      </c>
      <c r="DM18">
        <v>119000</v>
      </c>
      <c r="DN18">
        <v>118600</v>
      </c>
      <c r="DO18">
        <v>118300</v>
      </c>
      <c r="DP18">
        <v>118100</v>
      </c>
      <c r="DQ18">
        <v>118000</v>
      </c>
      <c r="DR18">
        <v>117900</v>
      </c>
      <c r="DS18">
        <v>118000</v>
      </c>
      <c r="DT18">
        <v>118100</v>
      </c>
      <c r="DU18">
        <v>118200</v>
      </c>
      <c r="DV18">
        <v>117900</v>
      </c>
      <c r="DW18">
        <v>117600</v>
      </c>
      <c r="DX18">
        <v>117500</v>
      </c>
      <c r="DY18">
        <v>117500</v>
      </c>
      <c r="DZ18">
        <v>117300</v>
      </c>
      <c r="EA18">
        <v>117100</v>
      </c>
      <c r="EB18">
        <v>116600</v>
      </c>
      <c r="EC18">
        <v>116100</v>
      </c>
      <c r="ED18">
        <v>115700</v>
      </c>
      <c r="EE18">
        <v>115200</v>
      </c>
      <c r="EF18">
        <v>114800</v>
      </c>
      <c r="EG18">
        <v>114500</v>
      </c>
      <c r="EH18">
        <v>114100</v>
      </c>
      <c r="EI18">
        <v>113800</v>
      </c>
      <c r="EJ18">
        <v>113400</v>
      </c>
      <c r="EK18">
        <v>112900</v>
      </c>
      <c r="EL18">
        <v>112400</v>
      </c>
      <c r="EM18">
        <v>112300</v>
      </c>
      <c r="EN18">
        <v>112300</v>
      </c>
      <c r="EO18">
        <v>112000</v>
      </c>
      <c r="EP18">
        <v>111800</v>
      </c>
      <c r="EQ18">
        <v>111600</v>
      </c>
      <c r="ER18">
        <v>111300</v>
      </c>
      <c r="ES18">
        <v>111000</v>
      </c>
      <c r="ET18">
        <v>111000</v>
      </c>
      <c r="EU18">
        <v>110900</v>
      </c>
      <c r="EV18">
        <v>110900</v>
      </c>
      <c r="EW18">
        <v>111200</v>
      </c>
      <c r="EX18">
        <v>111500</v>
      </c>
      <c r="EY18">
        <v>111500</v>
      </c>
      <c r="EZ18">
        <v>111500</v>
      </c>
      <c r="FA18">
        <v>111600</v>
      </c>
      <c r="FB18">
        <v>111800</v>
      </c>
      <c r="FC18">
        <v>112000</v>
      </c>
      <c r="FD18">
        <v>112100</v>
      </c>
      <c r="FE18">
        <v>112300</v>
      </c>
      <c r="FF18">
        <v>112700</v>
      </c>
      <c r="FG18">
        <v>113100</v>
      </c>
      <c r="FH18">
        <v>113400</v>
      </c>
      <c r="FI18">
        <v>113700</v>
      </c>
      <c r="FJ18">
        <v>114100</v>
      </c>
      <c r="FK18">
        <v>114400</v>
      </c>
      <c r="FL18">
        <v>114900</v>
      </c>
      <c r="FM18">
        <v>115500</v>
      </c>
      <c r="FN18">
        <v>116000</v>
      </c>
      <c r="FO18">
        <v>116500</v>
      </c>
      <c r="FP18">
        <v>116800</v>
      </c>
      <c r="FQ18">
        <v>117100</v>
      </c>
      <c r="FR18">
        <v>117500</v>
      </c>
      <c r="FS18">
        <v>118000</v>
      </c>
      <c r="FT18">
        <v>118500</v>
      </c>
      <c r="FU18">
        <v>119100</v>
      </c>
      <c r="FV18">
        <v>119600</v>
      </c>
      <c r="FW18">
        <v>119900</v>
      </c>
      <c r="FX18">
        <v>120400</v>
      </c>
      <c r="FY18">
        <v>120800</v>
      </c>
      <c r="FZ18">
        <v>121300</v>
      </c>
      <c r="GA18">
        <v>121700</v>
      </c>
      <c r="GB18">
        <v>122300</v>
      </c>
      <c r="GC18">
        <v>122700</v>
      </c>
      <c r="GD18">
        <v>123200</v>
      </c>
      <c r="GE18">
        <v>123900</v>
      </c>
      <c r="GF18">
        <v>124500</v>
      </c>
      <c r="GG18">
        <v>125000</v>
      </c>
      <c r="GH18">
        <v>125600</v>
      </c>
      <c r="GI18">
        <v>126200</v>
      </c>
      <c r="GJ18">
        <v>126900</v>
      </c>
      <c r="GK18">
        <v>127700</v>
      </c>
      <c r="GL18">
        <v>128300</v>
      </c>
      <c r="GM18">
        <v>129100</v>
      </c>
      <c r="GN18">
        <v>129700</v>
      </c>
      <c r="GO18">
        <v>130400</v>
      </c>
      <c r="GP18">
        <v>131200</v>
      </c>
      <c r="GQ18">
        <v>131900</v>
      </c>
      <c r="GR18">
        <v>132600</v>
      </c>
      <c r="GS18">
        <v>133300</v>
      </c>
      <c r="GT18">
        <v>134300</v>
      </c>
      <c r="GU18">
        <v>135400</v>
      </c>
      <c r="GV18">
        <v>136400</v>
      </c>
      <c r="GW18">
        <v>137400</v>
      </c>
      <c r="GX18">
        <v>138600</v>
      </c>
      <c r="GY18">
        <v>139900</v>
      </c>
      <c r="GZ18">
        <v>141100</v>
      </c>
      <c r="HA18">
        <v>142200</v>
      </c>
      <c r="HB18">
        <v>143100</v>
      </c>
      <c r="HC18">
        <v>144100</v>
      </c>
      <c r="HD18">
        <v>145200</v>
      </c>
      <c r="HE18">
        <v>146200</v>
      </c>
      <c r="HF18">
        <v>147000</v>
      </c>
      <c r="HG18">
        <v>147600</v>
      </c>
      <c r="HH18">
        <v>148200</v>
      </c>
      <c r="HI18">
        <v>149000</v>
      </c>
      <c r="HJ18">
        <v>150000</v>
      </c>
      <c r="HK18">
        <v>151100</v>
      </c>
      <c r="HL18">
        <v>152500</v>
      </c>
      <c r="HM18">
        <v>154200</v>
      </c>
      <c r="HN18">
        <v>155700</v>
      </c>
      <c r="HO18">
        <v>156800</v>
      </c>
      <c r="HP18">
        <v>157700</v>
      </c>
      <c r="HQ18">
        <v>158400</v>
      </c>
      <c r="HR18">
        <v>159300</v>
      </c>
      <c r="HS18">
        <v>160800</v>
      </c>
      <c r="HT18">
        <v>162000</v>
      </c>
    </row>
    <row r="19" spans="1:228" x14ac:dyDescent="0.3">
      <c r="A19">
        <v>32</v>
      </c>
      <c r="B19" t="s">
        <v>245</v>
      </c>
      <c r="C19">
        <v>18</v>
      </c>
      <c r="D19">
        <v>100200</v>
      </c>
      <c r="E19">
        <v>100600</v>
      </c>
      <c r="F19">
        <v>101000</v>
      </c>
      <c r="G19">
        <v>101400</v>
      </c>
      <c r="H19">
        <v>101900</v>
      </c>
      <c r="I19">
        <v>102300</v>
      </c>
      <c r="J19">
        <v>102800</v>
      </c>
      <c r="K19">
        <v>103400</v>
      </c>
      <c r="L19">
        <v>103900</v>
      </c>
      <c r="M19">
        <v>104400</v>
      </c>
      <c r="N19">
        <v>105000</v>
      </c>
      <c r="O19">
        <v>105500</v>
      </c>
      <c r="P19">
        <v>106100</v>
      </c>
      <c r="Q19">
        <v>106700</v>
      </c>
      <c r="R19">
        <v>107300</v>
      </c>
      <c r="S19">
        <v>108000</v>
      </c>
      <c r="T19">
        <v>108600</v>
      </c>
      <c r="U19">
        <v>109200</v>
      </c>
      <c r="V19">
        <v>109800</v>
      </c>
      <c r="W19">
        <v>110300</v>
      </c>
      <c r="X19">
        <v>110800</v>
      </c>
      <c r="Y19">
        <v>111400</v>
      </c>
      <c r="Z19">
        <v>111900</v>
      </c>
      <c r="AA19">
        <v>112400</v>
      </c>
      <c r="AB19">
        <v>112900</v>
      </c>
      <c r="AC19">
        <v>113500</v>
      </c>
      <c r="AD19">
        <v>114100</v>
      </c>
      <c r="AE19">
        <v>114700</v>
      </c>
      <c r="AF19">
        <v>115300</v>
      </c>
      <c r="AG19">
        <v>115900</v>
      </c>
      <c r="AH19">
        <v>116500</v>
      </c>
      <c r="AI19">
        <v>117200</v>
      </c>
      <c r="AJ19">
        <v>117900</v>
      </c>
      <c r="AK19">
        <v>118500</v>
      </c>
      <c r="AL19">
        <v>119100</v>
      </c>
      <c r="AM19">
        <v>119600</v>
      </c>
      <c r="AN19">
        <v>120100</v>
      </c>
      <c r="AO19">
        <v>120500</v>
      </c>
      <c r="AP19">
        <v>120900</v>
      </c>
      <c r="AQ19">
        <v>121400</v>
      </c>
      <c r="AR19">
        <v>121900</v>
      </c>
      <c r="AS19">
        <v>122400</v>
      </c>
      <c r="AT19">
        <v>122900</v>
      </c>
      <c r="AU19">
        <v>123300</v>
      </c>
      <c r="AV19">
        <v>123800</v>
      </c>
      <c r="AW19">
        <v>124200</v>
      </c>
      <c r="AX19">
        <v>124600</v>
      </c>
      <c r="AY19">
        <v>125000</v>
      </c>
      <c r="AZ19">
        <v>125200</v>
      </c>
      <c r="BA19">
        <v>125400</v>
      </c>
      <c r="BB19">
        <v>125500</v>
      </c>
      <c r="BC19">
        <v>125700</v>
      </c>
      <c r="BD19">
        <v>125800</v>
      </c>
      <c r="BE19">
        <v>126100</v>
      </c>
      <c r="BF19">
        <v>126400</v>
      </c>
      <c r="BG19">
        <v>126700</v>
      </c>
      <c r="BH19">
        <v>127000</v>
      </c>
      <c r="BI19">
        <v>127400</v>
      </c>
      <c r="BJ19">
        <v>127800</v>
      </c>
      <c r="BK19">
        <v>128400</v>
      </c>
      <c r="BL19">
        <v>128900</v>
      </c>
      <c r="BM19">
        <v>129500</v>
      </c>
      <c r="BN19">
        <v>130000</v>
      </c>
      <c r="BO19">
        <v>130600</v>
      </c>
      <c r="BP19">
        <v>131300</v>
      </c>
      <c r="BQ19">
        <v>131900</v>
      </c>
      <c r="BR19">
        <v>132600</v>
      </c>
      <c r="BS19">
        <v>133300</v>
      </c>
      <c r="BT19">
        <v>133900</v>
      </c>
      <c r="BU19">
        <v>134600</v>
      </c>
      <c r="BV19">
        <v>135200</v>
      </c>
      <c r="BW19">
        <v>135700</v>
      </c>
      <c r="BX19">
        <v>136200</v>
      </c>
      <c r="BY19">
        <v>136500</v>
      </c>
      <c r="BZ19">
        <v>136900</v>
      </c>
      <c r="CA19">
        <v>137200</v>
      </c>
      <c r="CB19">
        <v>137500</v>
      </c>
      <c r="CC19">
        <v>137700</v>
      </c>
      <c r="CD19">
        <v>138000</v>
      </c>
      <c r="CE19">
        <v>138400</v>
      </c>
      <c r="CF19">
        <v>138800</v>
      </c>
      <c r="CG19">
        <v>139100</v>
      </c>
      <c r="CH19">
        <v>139400</v>
      </c>
      <c r="CI19">
        <v>139600</v>
      </c>
      <c r="CJ19">
        <v>139800</v>
      </c>
      <c r="CK19">
        <v>140000</v>
      </c>
      <c r="CL19">
        <v>140100</v>
      </c>
      <c r="CM19">
        <v>140200</v>
      </c>
      <c r="CN19">
        <v>140200</v>
      </c>
      <c r="CO19">
        <v>140100</v>
      </c>
      <c r="CP19">
        <v>140000</v>
      </c>
      <c r="CQ19">
        <v>139800</v>
      </c>
      <c r="CR19">
        <v>139600</v>
      </c>
      <c r="CS19">
        <v>139300</v>
      </c>
      <c r="CT19">
        <v>139100</v>
      </c>
      <c r="CU19">
        <v>138800</v>
      </c>
      <c r="CV19">
        <v>138600</v>
      </c>
      <c r="CW19">
        <v>138400</v>
      </c>
      <c r="CX19">
        <v>138200</v>
      </c>
      <c r="CY19">
        <v>138000</v>
      </c>
      <c r="CZ19">
        <v>137800</v>
      </c>
      <c r="DA19">
        <v>137300</v>
      </c>
      <c r="DB19">
        <v>136800</v>
      </c>
      <c r="DC19">
        <v>136300</v>
      </c>
      <c r="DD19">
        <v>135800</v>
      </c>
      <c r="DE19">
        <v>135400</v>
      </c>
      <c r="DF19">
        <v>135000</v>
      </c>
      <c r="DG19">
        <v>134700</v>
      </c>
      <c r="DH19">
        <v>134500</v>
      </c>
      <c r="DI19">
        <v>134200</v>
      </c>
      <c r="DJ19">
        <v>133900</v>
      </c>
      <c r="DK19">
        <v>133500</v>
      </c>
      <c r="DL19">
        <v>133100</v>
      </c>
      <c r="DM19">
        <v>132500</v>
      </c>
      <c r="DN19">
        <v>132000</v>
      </c>
      <c r="DO19">
        <v>131500</v>
      </c>
      <c r="DP19">
        <v>131000</v>
      </c>
      <c r="DQ19">
        <v>130600</v>
      </c>
      <c r="DR19">
        <v>130200</v>
      </c>
      <c r="DS19">
        <v>130100</v>
      </c>
      <c r="DT19">
        <v>130100</v>
      </c>
      <c r="DU19">
        <v>130100</v>
      </c>
      <c r="DV19">
        <v>129900</v>
      </c>
      <c r="DW19">
        <v>129400</v>
      </c>
      <c r="DX19">
        <v>129100</v>
      </c>
      <c r="DY19">
        <v>129000</v>
      </c>
      <c r="DZ19">
        <v>128700</v>
      </c>
      <c r="EA19">
        <v>128400</v>
      </c>
      <c r="EB19">
        <v>128000</v>
      </c>
      <c r="EC19">
        <v>127800</v>
      </c>
      <c r="ED19">
        <v>127600</v>
      </c>
      <c r="EE19">
        <v>127000</v>
      </c>
      <c r="EF19">
        <v>126200</v>
      </c>
      <c r="EG19">
        <v>125600</v>
      </c>
      <c r="EH19">
        <v>124700</v>
      </c>
      <c r="EI19">
        <v>123900</v>
      </c>
      <c r="EJ19">
        <v>123600</v>
      </c>
      <c r="EK19">
        <v>123400</v>
      </c>
      <c r="EL19">
        <v>123300</v>
      </c>
      <c r="EM19">
        <v>123200</v>
      </c>
      <c r="EN19">
        <v>123000</v>
      </c>
      <c r="EO19">
        <v>122700</v>
      </c>
      <c r="EP19">
        <v>122300</v>
      </c>
      <c r="EQ19">
        <v>121800</v>
      </c>
      <c r="ER19">
        <v>121200</v>
      </c>
      <c r="ES19">
        <v>120900</v>
      </c>
      <c r="ET19">
        <v>121200</v>
      </c>
      <c r="EU19">
        <v>121400</v>
      </c>
      <c r="EV19">
        <v>121100</v>
      </c>
      <c r="EW19">
        <v>121000</v>
      </c>
      <c r="EX19">
        <v>121100</v>
      </c>
      <c r="EY19">
        <v>121300</v>
      </c>
      <c r="EZ19">
        <v>121500</v>
      </c>
      <c r="FA19">
        <v>121600</v>
      </c>
      <c r="FB19">
        <v>121700</v>
      </c>
      <c r="FC19">
        <v>122000</v>
      </c>
      <c r="FD19">
        <v>122200</v>
      </c>
      <c r="FE19">
        <v>122300</v>
      </c>
      <c r="FF19">
        <v>122400</v>
      </c>
      <c r="FG19">
        <v>122800</v>
      </c>
      <c r="FH19">
        <v>123100</v>
      </c>
      <c r="FI19">
        <v>123400</v>
      </c>
      <c r="FJ19">
        <v>123600</v>
      </c>
      <c r="FK19">
        <v>123600</v>
      </c>
      <c r="FL19">
        <v>123700</v>
      </c>
      <c r="FM19">
        <v>124000</v>
      </c>
      <c r="FN19">
        <v>124300</v>
      </c>
      <c r="FO19">
        <v>124500</v>
      </c>
      <c r="FP19">
        <v>124700</v>
      </c>
      <c r="FQ19">
        <v>125000</v>
      </c>
      <c r="FR19">
        <v>125300</v>
      </c>
      <c r="FS19">
        <v>125400</v>
      </c>
      <c r="FT19">
        <v>125600</v>
      </c>
      <c r="FU19">
        <v>125700</v>
      </c>
      <c r="FV19">
        <v>125800</v>
      </c>
      <c r="FW19">
        <v>125900</v>
      </c>
      <c r="FX19">
        <v>126000</v>
      </c>
      <c r="FY19">
        <v>126100</v>
      </c>
      <c r="FZ19">
        <v>126200</v>
      </c>
      <c r="GA19">
        <v>126600</v>
      </c>
      <c r="GB19">
        <v>127200</v>
      </c>
      <c r="GC19">
        <v>127400</v>
      </c>
      <c r="GD19">
        <v>127500</v>
      </c>
      <c r="GE19">
        <v>127900</v>
      </c>
      <c r="GF19">
        <v>128600</v>
      </c>
      <c r="GG19">
        <v>129200</v>
      </c>
      <c r="GH19">
        <v>129800</v>
      </c>
      <c r="GI19">
        <v>130400</v>
      </c>
      <c r="GJ19">
        <v>131000</v>
      </c>
      <c r="GK19">
        <v>131600</v>
      </c>
      <c r="GL19">
        <v>132100</v>
      </c>
      <c r="GM19">
        <v>132700</v>
      </c>
      <c r="GN19">
        <v>133200</v>
      </c>
      <c r="GO19">
        <v>133600</v>
      </c>
      <c r="GP19">
        <v>133900</v>
      </c>
      <c r="GQ19">
        <v>134500</v>
      </c>
      <c r="GR19">
        <v>135000</v>
      </c>
      <c r="GS19">
        <v>135400</v>
      </c>
      <c r="GT19">
        <v>136000</v>
      </c>
      <c r="GU19">
        <v>136500</v>
      </c>
      <c r="GV19">
        <v>136900</v>
      </c>
      <c r="GW19">
        <v>137500</v>
      </c>
      <c r="GX19">
        <v>138300</v>
      </c>
      <c r="GY19">
        <v>138900</v>
      </c>
      <c r="GZ19">
        <v>139400</v>
      </c>
      <c r="HA19">
        <v>140000</v>
      </c>
      <c r="HB19">
        <v>141000</v>
      </c>
      <c r="HC19">
        <v>141800</v>
      </c>
      <c r="HD19">
        <v>142300</v>
      </c>
      <c r="HE19">
        <v>142600</v>
      </c>
      <c r="HF19">
        <v>143200</v>
      </c>
      <c r="HG19">
        <v>143800</v>
      </c>
      <c r="HH19">
        <v>144400</v>
      </c>
      <c r="HI19">
        <v>145100</v>
      </c>
      <c r="HJ19">
        <v>146100</v>
      </c>
      <c r="HK19">
        <v>147100</v>
      </c>
      <c r="HL19">
        <v>148000</v>
      </c>
      <c r="HM19">
        <v>149000</v>
      </c>
      <c r="HN19">
        <v>150000</v>
      </c>
      <c r="HO19">
        <v>151000</v>
      </c>
      <c r="HP19">
        <v>152100</v>
      </c>
      <c r="HQ19">
        <v>153200</v>
      </c>
      <c r="HR19">
        <v>154000</v>
      </c>
      <c r="HS19">
        <v>154900</v>
      </c>
      <c r="HT19">
        <v>155700</v>
      </c>
    </row>
    <row r="20" spans="1:228" x14ac:dyDescent="0.3">
      <c r="A20">
        <v>27</v>
      </c>
      <c r="B20" t="s">
        <v>246</v>
      </c>
      <c r="C20">
        <v>19</v>
      </c>
      <c r="D20">
        <v>138900</v>
      </c>
      <c r="E20">
        <v>139600</v>
      </c>
      <c r="F20">
        <v>140200</v>
      </c>
      <c r="G20">
        <v>140800</v>
      </c>
      <c r="H20">
        <v>141300</v>
      </c>
      <c r="I20">
        <v>141800</v>
      </c>
      <c r="J20">
        <v>142400</v>
      </c>
      <c r="K20">
        <v>143000</v>
      </c>
      <c r="L20">
        <v>143600</v>
      </c>
      <c r="M20">
        <v>144400</v>
      </c>
      <c r="N20">
        <v>145200</v>
      </c>
      <c r="O20">
        <v>146100</v>
      </c>
      <c r="P20">
        <v>147100</v>
      </c>
      <c r="Q20">
        <v>148100</v>
      </c>
      <c r="R20">
        <v>149000</v>
      </c>
      <c r="S20">
        <v>150000</v>
      </c>
      <c r="T20">
        <v>150900</v>
      </c>
      <c r="U20">
        <v>151900</v>
      </c>
      <c r="V20">
        <v>152900</v>
      </c>
      <c r="W20">
        <v>154000</v>
      </c>
      <c r="X20">
        <v>155100</v>
      </c>
      <c r="Y20">
        <v>156400</v>
      </c>
      <c r="Z20">
        <v>157700</v>
      </c>
      <c r="AA20">
        <v>159100</v>
      </c>
      <c r="AB20">
        <v>160600</v>
      </c>
      <c r="AC20">
        <v>162100</v>
      </c>
      <c r="AD20">
        <v>163700</v>
      </c>
      <c r="AE20">
        <v>165300</v>
      </c>
      <c r="AF20">
        <v>167100</v>
      </c>
      <c r="AG20">
        <v>168900</v>
      </c>
      <c r="AH20">
        <v>170700</v>
      </c>
      <c r="AI20">
        <v>172600</v>
      </c>
      <c r="AJ20">
        <v>174600</v>
      </c>
      <c r="AK20">
        <v>176700</v>
      </c>
      <c r="AL20">
        <v>178900</v>
      </c>
      <c r="AM20">
        <v>181200</v>
      </c>
      <c r="AN20">
        <v>183500</v>
      </c>
      <c r="AO20">
        <v>185700</v>
      </c>
      <c r="AP20">
        <v>187900</v>
      </c>
      <c r="AQ20">
        <v>190200</v>
      </c>
      <c r="AR20">
        <v>192600</v>
      </c>
      <c r="AS20">
        <v>195000</v>
      </c>
      <c r="AT20">
        <v>197600</v>
      </c>
      <c r="AU20">
        <v>200300</v>
      </c>
      <c r="AV20">
        <v>203000</v>
      </c>
      <c r="AW20">
        <v>205800</v>
      </c>
      <c r="AX20">
        <v>208800</v>
      </c>
      <c r="AY20">
        <v>211800</v>
      </c>
      <c r="AZ20">
        <v>214900</v>
      </c>
      <c r="BA20">
        <v>218000</v>
      </c>
      <c r="BB20">
        <v>221300</v>
      </c>
      <c r="BC20">
        <v>225000</v>
      </c>
      <c r="BD20">
        <v>229000</v>
      </c>
      <c r="BE20">
        <v>233500</v>
      </c>
      <c r="BF20">
        <v>238300</v>
      </c>
      <c r="BG20">
        <v>243300</v>
      </c>
      <c r="BH20">
        <v>248500</v>
      </c>
      <c r="BI20">
        <v>253800</v>
      </c>
      <c r="BJ20">
        <v>258900</v>
      </c>
      <c r="BK20">
        <v>263900</v>
      </c>
      <c r="BL20">
        <v>268700</v>
      </c>
      <c r="BM20">
        <v>273300</v>
      </c>
      <c r="BN20">
        <v>278000</v>
      </c>
      <c r="BO20">
        <v>283000</v>
      </c>
      <c r="BP20">
        <v>288100</v>
      </c>
      <c r="BQ20">
        <v>293300</v>
      </c>
      <c r="BR20">
        <v>298300</v>
      </c>
      <c r="BS20">
        <v>302900</v>
      </c>
      <c r="BT20">
        <v>307000</v>
      </c>
      <c r="BU20">
        <v>310700</v>
      </c>
      <c r="BV20">
        <v>314000</v>
      </c>
      <c r="BW20">
        <v>317000</v>
      </c>
      <c r="BX20">
        <v>319700</v>
      </c>
      <c r="BY20">
        <v>322200</v>
      </c>
      <c r="BZ20">
        <v>324700</v>
      </c>
      <c r="CA20">
        <v>327300</v>
      </c>
      <c r="CB20">
        <v>329400</v>
      </c>
      <c r="CC20">
        <v>331200</v>
      </c>
      <c r="CD20">
        <v>332700</v>
      </c>
      <c r="CE20">
        <v>333700</v>
      </c>
      <c r="CF20">
        <v>334400</v>
      </c>
      <c r="CG20">
        <v>334800</v>
      </c>
      <c r="CH20">
        <v>334800</v>
      </c>
      <c r="CI20">
        <v>334800</v>
      </c>
      <c r="CJ20">
        <v>334700</v>
      </c>
      <c r="CK20">
        <v>334500</v>
      </c>
      <c r="CL20">
        <v>334300</v>
      </c>
      <c r="CM20">
        <v>334100</v>
      </c>
      <c r="CN20">
        <v>333300</v>
      </c>
      <c r="CO20">
        <v>332000</v>
      </c>
      <c r="CP20">
        <v>330300</v>
      </c>
      <c r="CQ20">
        <v>328300</v>
      </c>
      <c r="CR20">
        <v>325900</v>
      </c>
      <c r="CS20">
        <v>323100</v>
      </c>
      <c r="CT20">
        <v>320100</v>
      </c>
      <c r="CU20">
        <v>317100</v>
      </c>
      <c r="CV20">
        <v>314000</v>
      </c>
      <c r="CW20">
        <v>311000</v>
      </c>
      <c r="CX20">
        <v>308500</v>
      </c>
      <c r="CY20">
        <v>306000</v>
      </c>
      <c r="CZ20">
        <v>303000</v>
      </c>
      <c r="DA20">
        <v>299200</v>
      </c>
      <c r="DB20">
        <v>295300</v>
      </c>
      <c r="DC20">
        <v>291400</v>
      </c>
      <c r="DD20">
        <v>287900</v>
      </c>
      <c r="DE20">
        <v>284700</v>
      </c>
      <c r="DF20">
        <v>281700</v>
      </c>
      <c r="DG20">
        <v>278800</v>
      </c>
      <c r="DH20">
        <v>275900</v>
      </c>
      <c r="DI20">
        <v>272900</v>
      </c>
      <c r="DJ20">
        <v>270100</v>
      </c>
      <c r="DK20">
        <v>267100</v>
      </c>
      <c r="DL20">
        <v>263600</v>
      </c>
      <c r="DM20">
        <v>259900</v>
      </c>
      <c r="DN20">
        <v>257000</v>
      </c>
      <c r="DO20">
        <v>255000</v>
      </c>
      <c r="DP20">
        <v>253600</v>
      </c>
      <c r="DQ20">
        <v>252600</v>
      </c>
      <c r="DR20">
        <v>251900</v>
      </c>
      <c r="DS20">
        <v>251600</v>
      </c>
      <c r="DT20">
        <v>251500</v>
      </c>
      <c r="DU20">
        <v>251900</v>
      </c>
      <c r="DV20">
        <v>250300</v>
      </c>
      <c r="DW20">
        <v>247100</v>
      </c>
      <c r="DX20">
        <v>245100</v>
      </c>
      <c r="DY20">
        <v>244900</v>
      </c>
      <c r="DZ20">
        <v>243900</v>
      </c>
      <c r="EA20">
        <v>242700</v>
      </c>
      <c r="EB20">
        <v>241500</v>
      </c>
      <c r="EC20">
        <v>240300</v>
      </c>
      <c r="ED20">
        <v>239100</v>
      </c>
      <c r="EE20">
        <v>237600</v>
      </c>
      <c r="EF20">
        <v>236200</v>
      </c>
      <c r="EG20">
        <v>234700</v>
      </c>
      <c r="EH20">
        <v>233400</v>
      </c>
      <c r="EI20">
        <v>232200</v>
      </c>
      <c r="EJ20">
        <v>230900</v>
      </c>
      <c r="EK20">
        <v>229700</v>
      </c>
      <c r="EL20">
        <v>228600</v>
      </c>
      <c r="EM20">
        <v>227300</v>
      </c>
      <c r="EN20">
        <v>225800</v>
      </c>
      <c r="EO20">
        <v>224400</v>
      </c>
      <c r="EP20">
        <v>223200</v>
      </c>
      <c r="EQ20">
        <v>222200</v>
      </c>
      <c r="ER20">
        <v>221900</v>
      </c>
      <c r="ES20">
        <v>221800</v>
      </c>
      <c r="ET20">
        <v>221900</v>
      </c>
      <c r="EU20">
        <v>222600</v>
      </c>
      <c r="EV20">
        <v>223600</v>
      </c>
      <c r="EW20">
        <v>224300</v>
      </c>
      <c r="EX20">
        <v>225200</v>
      </c>
      <c r="EY20">
        <v>226300</v>
      </c>
      <c r="EZ20">
        <v>227300</v>
      </c>
      <c r="FA20">
        <v>227900</v>
      </c>
      <c r="FB20">
        <v>228500</v>
      </c>
      <c r="FC20">
        <v>229000</v>
      </c>
      <c r="FD20">
        <v>229500</v>
      </c>
      <c r="FE20">
        <v>229600</v>
      </c>
      <c r="FF20">
        <v>230400</v>
      </c>
      <c r="FG20">
        <v>231900</v>
      </c>
      <c r="FH20">
        <v>233500</v>
      </c>
      <c r="FI20">
        <v>234800</v>
      </c>
      <c r="FJ20">
        <v>236100</v>
      </c>
      <c r="FK20">
        <v>237500</v>
      </c>
      <c r="FL20">
        <v>238700</v>
      </c>
      <c r="FM20">
        <v>239800</v>
      </c>
      <c r="FN20">
        <v>240800</v>
      </c>
      <c r="FO20">
        <v>241700</v>
      </c>
      <c r="FP20">
        <v>241900</v>
      </c>
      <c r="FQ20">
        <v>242200</v>
      </c>
      <c r="FR20">
        <v>242900</v>
      </c>
      <c r="FS20">
        <v>243500</v>
      </c>
      <c r="FT20">
        <v>243800</v>
      </c>
      <c r="FU20">
        <v>244300</v>
      </c>
      <c r="FV20">
        <v>245000</v>
      </c>
      <c r="FW20">
        <v>245500</v>
      </c>
      <c r="FX20">
        <v>246200</v>
      </c>
      <c r="FY20">
        <v>246900</v>
      </c>
      <c r="FZ20">
        <v>247300</v>
      </c>
      <c r="GA20">
        <v>247700</v>
      </c>
      <c r="GB20">
        <v>248100</v>
      </c>
      <c r="GC20">
        <v>248600</v>
      </c>
      <c r="GD20">
        <v>249000</v>
      </c>
      <c r="GE20">
        <v>249500</v>
      </c>
      <c r="GF20">
        <v>250000</v>
      </c>
      <c r="GG20">
        <v>250600</v>
      </c>
      <c r="GH20">
        <v>251200</v>
      </c>
      <c r="GI20">
        <v>251600</v>
      </c>
      <c r="GJ20">
        <v>251700</v>
      </c>
      <c r="GK20">
        <v>251900</v>
      </c>
      <c r="GL20">
        <v>252500</v>
      </c>
      <c r="GM20">
        <v>252900</v>
      </c>
      <c r="GN20">
        <v>253100</v>
      </c>
      <c r="GO20">
        <v>253200</v>
      </c>
      <c r="GP20">
        <v>253900</v>
      </c>
      <c r="GQ20">
        <v>255200</v>
      </c>
      <c r="GR20">
        <v>256700</v>
      </c>
      <c r="GS20">
        <v>258200</v>
      </c>
      <c r="GT20">
        <v>259500</v>
      </c>
      <c r="GU20">
        <v>260200</v>
      </c>
      <c r="GV20">
        <v>260900</v>
      </c>
      <c r="GW20">
        <v>262000</v>
      </c>
      <c r="GX20">
        <v>263600</v>
      </c>
      <c r="GY20">
        <v>265000</v>
      </c>
      <c r="GZ20">
        <v>266000</v>
      </c>
      <c r="HA20">
        <v>266900</v>
      </c>
      <c r="HB20">
        <v>268000</v>
      </c>
      <c r="HC20">
        <v>269100</v>
      </c>
      <c r="HD20">
        <v>269900</v>
      </c>
      <c r="HE20">
        <v>270200</v>
      </c>
      <c r="HF20">
        <v>270400</v>
      </c>
      <c r="HG20">
        <v>271100</v>
      </c>
      <c r="HH20">
        <v>272500</v>
      </c>
      <c r="HI20">
        <v>273600</v>
      </c>
      <c r="HJ20">
        <v>274600</v>
      </c>
      <c r="HK20">
        <v>275800</v>
      </c>
      <c r="HL20">
        <v>277600</v>
      </c>
      <c r="HM20">
        <v>279500</v>
      </c>
      <c r="HN20">
        <v>281100</v>
      </c>
      <c r="HO20">
        <v>282300</v>
      </c>
      <c r="HP20">
        <v>283100</v>
      </c>
      <c r="HQ20">
        <v>283400</v>
      </c>
      <c r="HR20">
        <v>283800</v>
      </c>
      <c r="HS20">
        <v>284600</v>
      </c>
      <c r="HT20">
        <v>285400</v>
      </c>
    </row>
    <row r="21" spans="1:228" x14ac:dyDescent="0.3">
      <c r="A21">
        <v>60</v>
      </c>
      <c r="B21" t="s">
        <v>247</v>
      </c>
      <c r="C21">
        <v>20</v>
      </c>
      <c r="D21">
        <v>118700</v>
      </c>
      <c r="E21">
        <v>119600</v>
      </c>
      <c r="F21">
        <v>120300</v>
      </c>
      <c r="G21">
        <v>121000</v>
      </c>
      <c r="H21">
        <v>121600</v>
      </c>
      <c r="I21">
        <v>122200</v>
      </c>
      <c r="J21">
        <v>122700</v>
      </c>
      <c r="K21">
        <v>123100</v>
      </c>
      <c r="L21">
        <v>123700</v>
      </c>
      <c r="M21">
        <v>124200</v>
      </c>
      <c r="N21">
        <v>124800</v>
      </c>
      <c r="O21">
        <v>125500</v>
      </c>
      <c r="P21">
        <v>126100</v>
      </c>
      <c r="Q21">
        <v>126700</v>
      </c>
      <c r="R21">
        <v>127400</v>
      </c>
      <c r="S21">
        <v>128100</v>
      </c>
      <c r="T21">
        <v>128700</v>
      </c>
      <c r="U21">
        <v>129400</v>
      </c>
      <c r="V21">
        <v>130100</v>
      </c>
      <c r="W21">
        <v>130700</v>
      </c>
      <c r="X21">
        <v>131400</v>
      </c>
      <c r="Y21">
        <v>132000</v>
      </c>
      <c r="Z21">
        <v>132700</v>
      </c>
      <c r="AA21">
        <v>133500</v>
      </c>
      <c r="AB21">
        <v>134400</v>
      </c>
      <c r="AC21">
        <v>135200</v>
      </c>
      <c r="AD21">
        <v>136000</v>
      </c>
      <c r="AE21">
        <v>136700</v>
      </c>
      <c r="AF21">
        <v>137400</v>
      </c>
      <c r="AG21">
        <v>138000</v>
      </c>
      <c r="AH21">
        <v>138600</v>
      </c>
      <c r="AI21">
        <v>139100</v>
      </c>
      <c r="AJ21">
        <v>139600</v>
      </c>
      <c r="AK21">
        <v>140100</v>
      </c>
      <c r="AL21">
        <v>140700</v>
      </c>
      <c r="AM21">
        <v>141500</v>
      </c>
      <c r="AN21">
        <v>142300</v>
      </c>
      <c r="AO21">
        <v>143200</v>
      </c>
      <c r="AP21">
        <v>144100</v>
      </c>
      <c r="AQ21">
        <v>144900</v>
      </c>
      <c r="AR21">
        <v>145600</v>
      </c>
      <c r="AS21">
        <v>146300</v>
      </c>
      <c r="AT21">
        <v>146900</v>
      </c>
      <c r="AU21">
        <v>147600</v>
      </c>
      <c r="AV21">
        <v>148200</v>
      </c>
      <c r="AW21">
        <v>148900</v>
      </c>
      <c r="AX21">
        <v>149600</v>
      </c>
      <c r="AY21">
        <v>150400</v>
      </c>
      <c r="AZ21">
        <v>151400</v>
      </c>
      <c r="BA21">
        <v>152600</v>
      </c>
      <c r="BB21">
        <v>153800</v>
      </c>
      <c r="BC21">
        <v>155100</v>
      </c>
      <c r="BD21">
        <v>156400</v>
      </c>
      <c r="BE21">
        <v>157600</v>
      </c>
      <c r="BF21">
        <v>158800</v>
      </c>
      <c r="BG21">
        <v>159900</v>
      </c>
      <c r="BH21">
        <v>160800</v>
      </c>
      <c r="BI21">
        <v>161500</v>
      </c>
      <c r="BJ21">
        <v>161600</v>
      </c>
      <c r="BK21">
        <v>161000</v>
      </c>
      <c r="BL21">
        <v>159600</v>
      </c>
      <c r="BM21">
        <v>157800</v>
      </c>
      <c r="BN21">
        <v>156000</v>
      </c>
      <c r="BO21">
        <v>154800</v>
      </c>
      <c r="BP21">
        <v>154200</v>
      </c>
      <c r="BQ21">
        <v>154200</v>
      </c>
      <c r="BR21">
        <v>154600</v>
      </c>
      <c r="BS21">
        <v>155300</v>
      </c>
      <c r="BT21">
        <v>155900</v>
      </c>
      <c r="BU21">
        <v>156600</v>
      </c>
      <c r="BV21">
        <v>157300</v>
      </c>
      <c r="BW21">
        <v>157900</v>
      </c>
      <c r="BX21">
        <v>158500</v>
      </c>
      <c r="BY21">
        <v>159000</v>
      </c>
      <c r="BZ21">
        <v>159500</v>
      </c>
      <c r="CA21">
        <v>159900</v>
      </c>
      <c r="CB21">
        <v>160100</v>
      </c>
      <c r="CC21">
        <v>160200</v>
      </c>
      <c r="CD21">
        <v>160200</v>
      </c>
      <c r="CE21">
        <v>160200</v>
      </c>
      <c r="CF21">
        <v>160300</v>
      </c>
      <c r="CG21">
        <v>160400</v>
      </c>
      <c r="CH21">
        <v>160600</v>
      </c>
      <c r="CI21">
        <v>160900</v>
      </c>
      <c r="CJ21">
        <v>161200</v>
      </c>
      <c r="CK21">
        <v>161500</v>
      </c>
      <c r="CL21">
        <v>161900</v>
      </c>
      <c r="CM21">
        <v>162100</v>
      </c>
      <c r="CN21">
        <v>162100</v>
      </c>
      <c r="CO21">
        <v>161900</v>
      </c>
      <c r="CP21">
        <v>161800</v>
      </c>
      <c r="CQ21">
        <v>161600</v>
      </c>
      <c r="CR21">
        <v>161500</v>
      </c>
      <c r="CS21">
        <v>161300</v>
      </c>
      <c r="CT21">
        <v>161100</v>
      </c>
      <c r="CU21">
        <v>161000</v>
      </c>
      <c r="CV21">
        <v>160800</v>
      </c>
      <c r="CW21">
        <v>160600</v>
      </c>
      <c r="CX21">
        <v>160200</v>
      </c>
      <c r="CY21">
        <v>159800</v>
      </c>
      <c r="CZ21">
        <v>159100</v>
      </c>
      <c r="DA21">
        <v>158400</v>
      </c>
      <c r="DB21">
        <v>157600</v>
      </c>
      <c r="DC21">
        <v>157000</v>
      </c>
      <c r="DD21">
        <v>156400</v>
      </c>
      <c r="DE21">
        <v>155800</v>
      </c>
      <c r="DF21">
        <v>155200</v>
      </c>
      <c r="DG21">
        <v>154800</v>
      </c>
      <c r="DH21">
        <v>154400</v>
      </c>
      <c r="DI21">
        <v>154100</v>
      </c>
      <c r="DJ21">
        <v>153800</v>
      </c>
      <c r="DK21">
        <v>153500</v>
      </c>
      <c r="DL21">
        <v>153100</v>
      </c>
      <c r="DM21">
        <v>152400</v>
      </c>
      <c r="DN21">
        <v>151700</v>
      </c>
      <c r="DO21">
        <v>151000</v>
      </c>
      <c r="DP21">
        <v>150500</v>
      </c>
      <c r="DQ21">
        <v>150100</v>
      </c>
      <c r="DR21">
        <v>149800</v>
      </c>
      <c r="DS21">
        <v>149700</v>
      </c>
      <c r="DT21">
        <v>149800</v>
      </c>
      <c r="DU21">
        <v>150000</v>
      </c>
      <c r="DV21">
        <v>149800</v>
      </c>
      <c r="DW21">
        <v>149300</v>
      </c>
      <c r="DX21">
        <v>148900</v>
      </c>
      <c r="DY21">
        <v>148800</v>
      </c>
      <c r="DZ21">
        <v>148300</v>
      </c>
      <c r="EA21">
        <v>147500</v>
      </c>
      <c r="EB21">
        <v>146800</v>
      </c>
      <c r="EC21">
        <v>146100</v>
      </c>
      <c r="ED21">
        <v>145100</v>
      </c>
      <c r="EE21">
        <v>144100</v>
      </c>
      <c r="EF21">
        <v>143300</v>
      </c>
      <c r="EG21">
        <v>142500</v>
      </c>
      <c r="EH21">
        <v>141900</v>
      </c>
      <c r="EI21">
        <v>141400</v>
      </c>
      <c r="EJ21">
        <v>141000</v>
      </c>
      <c r="EK21">
        <v>140500</v>
      </c>
      <c r="EL21">
        <v>140200</v>
      </c>
      <c r="EM21">
        <v>140100</v>
      </c>
      <c r="EN21">
        <v>139700</v>
      </c>
      <c r="EO21">
        <v>139500</v>
      </c>
      <c r="EP21">
        <v>139400</v>
      </c>
      <c r="EQ21">
        <v>139100</v>
      </c>
      <c r="ER21">
        <v>139000</v>
      </c>
      <c r="ES21">
        <v>139000</v>
      </c>
      <c r="ET21">
        <v>138700</v>
      </c>
      <c r="EU21">
        <v>138600</v>
      </c>
      <c r="EV21">
        <v>138800</v>
      </c>
      <c r="EW21">
        <v>139000</v>
      </c>
      <c r="EX21">
        <v>139200</v>
      </c>
      <c r="EY21">
        <v>139300</v>
      </c>
      <c r="EZ21">
        <v>139200</v>
      </c>
      <c r="FA21">
        <v>139100</v>
      </c>
      <c r="FB21">
        <v>139200</v>
      </c>
      <c r="FC21">
        <v>139400</v>
      </c>
      <c r="FD21">
        <v>139700</v>
      </c>
      <c r="FE21">
        <v>139900</v>
      </c>
      <c r="FF21">
        <v>140300</v>
      </c>
      <c r="FG21">
        <v>140700</v>
      </c>
      <c r="FH21">
        <v>140800</v>
      </c>
      <c r="FI21">
        <v>140900</v>
      </c>
      <c r="FJ21">
        <v>141300</v>
      </c>
      <c r="FK21">
        <v>141700</v>
      </c>
      <c r="FL21">
        <v>142200</v>
      </c>
      <c r="FM21">
        <v>142900</v>
      </c>
      <c r="FN21">
        <v>144200</v>
      </c>
      <c r="FO21">
        <v>145300</v>
      </c>
      <c r="FP21">
        <v>145600</v>
      </c>
      <c r="FQ21">
        <v>145800</v>
      </c>
      <c r="FR21">
        <v>146200</v>
      </c>
      <c r="FS21">
        <v>146500</v>
      </c>
      <c r="FT21">
        <v>146900</v>
      </c>
      <c r="FU21">
        <v>147400</v>
      </c>
      <c r="FV21">
        <v>147700</v>
      </c>
      <c r="FW21">
        <v>148100</v>
      </c>
      <c r="FX21">
        <v>148300</v>
      </c>
      <c r="FY21">
        <v>148000</v>
      </c>
      <c r="FZ21">
        <v>147500</v>
      </c>
      <c r="GA21">
        <v>147300</v>
      </c>
      <c r="GB21">
        <v>147300</v>
      </c>
      <c r="GC21">
        <v>147600</v>
      </c>
      <c r="GD21">
        <v>148200</v>
      </c>
      <c r="GE21">
        <v>148800</v>
      </c>
      <c r="GF21">
        <v>149400</v>
      </c>
      <c r="GG21">
        <v>149900</v>
      </c>
      <c r="GH21">
        <v>150300</v>
      </c>
      <c r="GI21">
        <v>150800</v>
      </c>
      <c r="GJ21">
        <v>151400</v>
      </c>
      <c r="GK21">
        <v>152000</v>
      </c>
      <c r="GL21">
        <v>152800</v>
      </c>
      <c r="GM21">
        <v>153500</v>
      </c>
      <c r="GN21">
        <v>153800</v>
      </c>
      <c r="GO21">
        <v>154400</v>
      </c>
      <c r="GP21">
        <v>155200</v>
      </c>
      <c r="GQ21">
        <v>155900</v>
      </c>
      <c r="GR21">
        <v>156700</v>
      </c>
      <c r="GS21">
        <v>157600</v>
      </c>
      <c r="GT21">
        <v>158400</v>
      </c>
      <c r="GU21">
        <v>159100</v>
      </c>
      <c r="GV21">
        <v>160100</v>
      </c>
      <c r="GW21">
        <v>161200</v>
      </c>
      <c r="GX21">
        <v>162100</v>
      </c>
      <c r="GY21">
        <v>162900</v>
      </c>
      <c r="GZ21">
        <v>163800</v>
      </c>
      <c r="HA21">
        <v>164600</v>
      </c>
      <c r="HB21">
        <v>165400</v>
      </c>
      <c r="HC21">
        <v>166400</v>
      </c>
      <c r="HD21">
        <v>167400</v>
      </c>
      <c r="HE21">
        <v>168200</v>
      </c>
      <c r="HF21">
        <v>169000</v>
      </c>
      <c r="HG21">
        <v>169800</v>
      </c>
      <c r="HH21">
        <v>170900</v>
      </c>
      <c r="HI21">
        <v>172000</v>
      </c>
      <c r="HJ21">
        <v>172700</v>
      </c>
      <c r="HK21">
        <v>173600</v>
      </c>
      <c r="HL21">
        <v>174500</v>
      </c>
      <c r="HM21">
        <v>175200</v>
      </c>
      <c r="HN21">
        <v>175600</v>
      </c>
      <c r="HO21">
        <v>176200</v>
      </c>
      <c r="HP21">
        <v>177000</v>
      </c>
      <c r="HQ21">
        <v>178000</v>
      </c>
      <c r="HR21">
        <v>179100</v>
      </c>
      <c r="HS21">
        <v>180700</v>
      </c>
      <c r="HT21">
        <v>181800</v>
      </c>
    </row>
    <row r="22" spans="1:228" x14ac:dyDescent="0.3">
      <c r="A22">
        <v>31</v>
      </c>
      <c r="B22" t="s">
        <v>248</v>
      </c>
      <c r="C22">
        <v>21</v>
      </c>
      <c r="D22">
        <v>122100</v>
      </c>
      <c r="E22">
        <v>123400</v>
      </c>
      <c r="F22">
        <v>124600</v>
      </c>
      <c r="G22">
        <v>125800</v>
      </c>
      <c r="H22">
        <v>127100</v>
      </c>
      <c r="I22">
        <v>128300</v>
      </c>
      <c r="J22">
        <v>129700</v>
      </c>
      <c r="K22">
        <v>131200</v>
      </c>
      <c r="L22">
        <v>132700</v>
      </c>
      <c r="M22">
        <v>134200</v>
      </c>
      <c r="N22">
        <v>135700</v>
      </c>
      <c r="O22">
        <v>137100</v>
      </c>
      <c r="P22">
        <v>138400</v>
      </c>
      <c r="Q22">
        <v>139600</v>
      </c>
      <c r="R22">
        <v>140900</v>
      </c>
      <c r="S22">
        <v>142300</v>
      </c>
      <c r="T22">
        <v>143900</v>
      </c>
      <c r="U22">
        <v>145600</v>
      </c>
      <c r="V22">
        <v>147500</v>
      </c>
      <c r="W22">
        <v>149300</v>
      </c>
      <c r="X22">
        <v>150900</v>
      </c>
      <c r="Y22">
        <v>152500</v>
      </c>
      <c r="Z22">
        <v>154000</v>
      </c>
      <c r="AA22">
        <v>155400</v>
      </c>
      <c r="AB22">
        <v>156800</v>
      </c>
      <c r="AC22">
        <v>158300</v>
      </c>
      <c r="AD22">
        <v>159800</v>
      </c>
      <c r="AE22">
        <v>161200</v>
      </c>
      <c r="AF22">
        <v>162500</v>
      </c>
      <c r="AG22">
        <v>163800</v>
      </c>
      <c r="AH22">
        <v>164800</v>
      </c>
      <c r="AI22">
        <v>165800</v>
      </c>
      <c r="AJ22">
        <v>166800</v>
      </c>
      <c r="AK22">
        <v>167900</v>
      </c>
      <c r="AL22">
        <v>169100</v>
      </c>
      <c r="AM22">
        <v>170400</v>
      </c>
      <c r="AN22">
        <v>171800</v>
      </c>
      <c r="AO22">
        <v>173100</v>
      </c>
      <c r="AP22">
        <v>174500</v>
      </c>
      <c r="AQ22">
        <v>175800</v>
      </c>
      <c r="AR22">
        <v>177000</v>
      </c>
      <c r="AS22">
        <v>178100</v>
      </c>
      <c r="AT22">
        <v>179200</v>
      </c>
      <c r="AU22">
        <v>180200</v>
      </c>
      <c r="AV22">
        <v>181100</v>
      </c>
      <c r="AW22">
        <v>182100</v>
      </c>
      <c r="AX22">
        <v>183200</v>
      </c>
      <c r="AY22">
        <v>184300</v>
      </c>
      <c r="AZ22">
        <v>185400</v>
      </c>
      <c r="BA22">
        <v>186700</v>
      </c>
      <c r="BB22">
        <v>188200</v>
      </c>
      <c r="BC22">
        <v>189700</v>
      </c>
      <c r="BD22">
        <v>191100</v>
      </c>
      <c r="BE22">
        <v>192400</v>
      </c>
      <c r="BF22">
        <v>193600</v>
      </c>
      <c r="BG22">
        <v>194600</v>
      </c>
      <c r="BH22">
        <v>195600</v>
      </c>
      <c r="BI22">
        <v>196500</v>
      </c>
      <c r="BJ22">
        <v>197400</v>
      </c>
      <c r="BK22">
        <v>198300</v>
      </c>
      <c r="BL22">
        <v>199200</v>
      </c>
      <c r="BM22">
        <v>200200</v>
      </c>
      <c r="BN22">
        <v>201200</v>
      </c>
      <c r="BO22">
        <v>202300</v>
      </c>
      <c r="BP22">
        <v>203400</v>
      </c>
      <c r="BQ22">
        <v>204300</v>
      </c>
      <c r="BR22">
        <v>205200</v>
      </c>
      <c r="BS22">
        <v>206000</v>
      </c>
      <c r="BT22">
        <v>206700</v>
      </c>
      <c r="BU22">
        <v>207600</v>
      </c>
      <c r="BV22">
        <v>208400</v>
      </c>
      <c r="BW22">
        <v>209200</v>
      </c>
      <c r="BX22">
        <v>209900</v>
      </c>
      <c r="BY22">
        <v>210300</v>
      </c>
      <c r="BZ22">
        <v>210400</v>
      </c>
      <c r="CA22">
        <v>210100</v>
      </c>
      <c r="CB22">
        <v>209600</v>
      </c>
      <c r="CC22">
        <v>209000</v>
      </c>
      <c r="CD22">
        <v>208400</v>
      </c>
      <c r="CE22">
        <v>207800</v>
      </c>
      <c r="CF22">
        <v>207300</v>
      </c>
      <c r="CG22">
        <v>206900</v>
      </c>
      <c r="CH22">
        <v>206600</v>
      </c>
      <c r="CI22">
        <v>206400</v>
      </c>
      <c r="CJ22">
        <v>206400</v>
      </c>
      <c r="CK22">
        <v>206200</v>
      </c>
      <c r="CL22">
        <v>206200</v>
      </c>
      <c r="CM22">
        <v>206100</v>
      </c>
      <c r="CN22">
        <v>205500</v>
      </c>
      <c r="CO22">
        <v>204600</v>
      </c>
      <c r="CP22">
        <v>203600</v>
      </c>
      <c r="CQ22">
        <v>202700</v>
      </c>
      <c r="CR22">
        <v>201700</v>
      </c>
      <c r="CS22">
        <v>200600</v>
      </c>
      <c r="CT22">
        <v>199300</v>
      </c>
      <c r="CU22">
        <v>197600</v>
      </c>
      <c r="CV22">
        <v>195900</v>
      </c>
      <c r="CW22">
        <v>194000</v>
      </c>
      <c r="CX22">
        <v>192400</v>
      </c>
      <c r="CY22">
        <v>191100</v>
      </c>
      <c r="CZ22">
        <v>189500</v>
      </c>
      <c r="DA22">
        <v>187700</v>
      </c>
      <c r="DB22">
        <v>185800</v>
      </c>
      <c r="DC22">
        <v>183800</v>
      </c>
      <c r="DD22">
        <v>182100</v>
      </c>
      <c r="DE22">
        <v>180600</v>
      </c>
      <c r="DF22">
        <v>179100</v>
      </c>
      <c r="DG22">
        <v>177800</v>
      </c>
      <c r="DH22">
        <v>176600</v>
      </c>
      <c r="DI22">
        <v>175400</v>
      </c>
      <c r="DJ22">
        <v>174400</v>
      </c>
      <c r="DK22">
        <v>173300</v>
      </c>
      <c r="DL22">
        <v>171700</v>
      </c>
      <c r="DM22">
        <v>169900</v>
      </c>
      <c r="DN22">
        <v>168600</v>
      </c>
      <c r="DO22">
        <v>167900</v>
      </c>
      <c r="DP22">
        <v>167400</v>
      </c>
      <c r="DQ22">
        <v>167100</v>
      </c>
      <c r="DR22">
        <v>166800</v>
      </c>
      <c r="DS22">
        <v>166700</v>
      </c>
      <c r="DT22">
        <v>166900</v>
      </c>
      <c r="DU22">
        <v>167400</v>
      </c>
      <c r="DV22">
        <v>166400</v>
      </c>
      <c r="DW22">
        <v>164400</v>
      </c>
      <c r="DX22">
        <v>163700</v>
      </c>
      <c r="DY22">
        <v>164500</v>
      </c>
      <c r="DZ22">
        <v>164600</v>
      </c>
      <c r="EA22">
        <v>163900</v>
      </c>
      <c r="EB22">
        <v>162400</v>
      </c>
      <c r="EC22">
        <v>160800</v>
      </c>
      <c r="ED22">
        <v>159200</v>
      </c>
      <c r="EE22">
        <v>157600</v>
      </c>
      <c r="EF22">
        <v>155900</v>
      </c>
      <c r="EG22">
        <v>154200</v>
      </c>
      <c r="EH22">
        <v>152700</v>
      </c>
      <c r="EI22">
        <v>151800</v>
      </c>
      <c r="EJ22">
        <v>150900</v>
      </c>
      <c r="EK22">
        <v>149600</v>
      </c>
      <c r="EL22">
        <v>148900</v>
      </c>
      <c r="EM22">
        <v>148500</v>
      </c>
      <c r="EN22">
        <v>148100</v>
      </c>
      <c r="EO22">
        <v>147700</v>
      </c>
      <c r="EP22">
        <v>147500</v>
      </c>
      <c r="EQ22">
        <v>147300</v>
      </c>
      <c r="ER22">
        <v>147000</v>
      </c>
      <c r="ES22">
        <v>146800</v>
      </c>
      <c r="ET22">
        <v>147100</v>
      </c>
      <c r="EU22">
        <v>147500</v>
      </c>
      <c r="EV22">
        <v>148300</v>
      </c>
      <c r="EW22">
        <v>149400</v>
      </c>
      <c r="EX22">
        <v>150300</v>
      </c>
      <c r="EY22">
        <v>151000</v>
      </c>
      <c r="EZ22">
        <v>152100</v>
      </c>
      <c r="FA22">
        <v>153200</v>
      </c>
      <c r="FB22">
        <v>154200</v>
      </c>
      <c r="FC22">
        <v>155300</v>
      </c>
      <c r="FD22">
        <v>156400</v>
      </c>
      <c r="FE22">
        <v>157300</v>
      </c>
      <c r="FF22">
        <v>158200</v>
      </c>
      <c r="FG22">
        <v>159300</v>
      </c>
      <c r="FH22">
        <v>160300</v>
      </c>
      <c r="FI22">
        <v>161200</v>
      </c>
      <c r="FJ22">
        <v>162400</v>
      </c>
      <c r="FK22">
        <v>163900</v>
      </c>
      <c r="FL22">
        <v>165300</v>
      </c>
      <c r="FM22">
        <v>166600</v>
      </c>
      <c r="FN22">
        <v>167800</v>
      </c>
      <c r="FO22">
        <v>169000</v>
      </c>
      <c r="FP22">
        <v>169600</v>
      </c>
      <c r="FQ22">
        <v>170200</v>
      </c>
      <c r="FR22">
        <v>171300</v>
      </c>
      <c r="FS22">
        <v>172600</v>
      </c>
      <c r="FT22">
        <v>173600</v>
      </c>
      <c r="FU22">
        <v>174300</v>
      </c>
      <c r="FV22">
        <v>174600</v>
      </c>
      <c r="FW22">
        <v>174900</v>
      </c>
      <c r="FX22">
        <v>175400</v>
      </c>
      <c r="FY22">
        <v>176000</v>
      </c>
      <c r="FZ22">
        <v>176300</v>
      </c>
      <c r="GA22">
        <v>176600</v>
      </c>
      <c r="GB22">
        <v>177200</v>
      </c>
      <c r="GC22">
        <v>178000</v>
      </c>
      <c r="GD22">
        <v>179200</v>
      </c>
      <c r="GE22">
        <v>180700</v>
      </c>
      <c r="GF22">
        <v>182000</v>
      </c>
      <c r="GG22">
        <v>183000</v>
      </c>
      <c r="GH22">
        <v>183700</v>
      </c>
      <c r="GI22">
        <v>184400</v>
      </c>
      <c r="GJ22">
        <v>185100</v>
      </c>
      <c r="GK22">
        <v>185800</v>
      </c>
      <c r="GL22">
        <v>186700</v>
      </c>
      <c r="GM22">
        <v>187600</v>
      </c>
      <c r="GN22">
        <v>188600</v>
      </c>
      <c r="GO22">
        <v>189900</v>
      </c>
      <c r="GP22">
        <v>191300</v>
      </c>
      <c r="GQ22">
        <v>192600</v>
      </c>
      <c r="GR22">
        <v>193600</v>
      </c>
      <c r="GS22">
        <v>194600</v>
      </c>
      <c r="GT22">
        <v>195900</v>
      </c>
      <c r="GU22">
        <v>197100</v>
      </c>
      <c r="GV22">
        <v>198100</v>
      </c>
      <c r="GW22">
        <v>199300</v>
      </c>
      <c r="GX22">
        <v>200800</v>
      </c>
      <c r="GY22">
        <v>202400</v>
      </c>
      <c r="GZ22">
        <v>204000</v>
      </c>
      <c r="HA22">
        <v>205600</v>
      </c>
      <c r="HB22">
        <v>207500</v>
      </c>
      <c r="HC22">
        <v>209100</v>
      </c>
      <c r="HD22">
        <v>210500</v>
      </c>
      <c r="HE22">
        <v>211900</v>
      </c>
      <c r="HF22">
        <v>213100</v>
      </c>
      <c r="HG22">
        <v>214000</v>
      </c>
      <c r="HH22">
        <v>215300</v>
      </c>
      <c r="HI22">
        <v>216800</v>
      </c>
      <c r="HJ22">
        <v>217800</v>
      </c>
      <c r="HK22">
        <v>218700</v>
      </c>
      <c r="HL22">
        <v>220300</v>
      </c>
      <c r="HM22">
        <v>222100</v>
      </c>
      <c r="HN22">
        <v>223400</v>
      </c>
      <c r="HO22">
        <v>224600</v>
      </c>
      <c r="HP22">
        <v>225500</v>
      </c>
      <c r="HQ22">
        <v>226100</v>
      </c>
      <c r="HR22">
        <v>226800</v>
      </c>
      <c r="HS22">
        <v>228200</v>
      </c>
      <c r="HT22">
        <v>229200</v>
      </c>
    </row>
    <row r="23" spans="1:228" x14ac:dyDescent="0.3">
      <c r="A23">
        <v>10</v>
      </c>
      <c r="B23" t="s">
        <v>249</v>
      </c>
      <c r="C23">
        <v>22</v>
      </c>
      <c r="D23">
        <v>165800</v>
      </c>
      <c r="E23">
        <v>167700</v>
      </c>
      <c r="F23">
        <v>169400</v>
      </c>
      <c r="G23">
        <v>171200</v>
      </c>
      <c r="H23">
        <v>173000</v>
      </c>
      <c r="I23">
        <v>174800</v>
      </c>
      <c r="J23">
        <v>176600</v>
      </c>
      <c r="K23">
        <v>178300</v>
      </c>
      <c r="L23">
        <v>180100</v>
      </c>
      <c r="M23">
        <v>181800</v>
      </c>
      <c r="N23">
        <v>183500</v>
      </c>
      <c r="O23">
        <v>185400</v>
      </c>
      <c r="P23">
        <v>187200</v>
      </c>
      <c r="Q23">
        <v>188900</v>
      </c>
      <c r="R23">
        <v>190400</v>
      </c>
      <c r="S23">
        <v>191900</v>
      </c>
      <c r="T23">
        <v>193100</v>
      </c>
      <c r="U23">
        <v>194200</v>
      </c>
      <c r="V23">
        <v>195300</v>
      </c>
      <c r="W23">
        <v>196400</v>
      </c>
      <c r="X23">
        <v>197300</v>
      </c>
      <c r="Y23">
        <v>198100</v>
      </c>
      <c r="Z23">
        <v>199000</v>
      </c>
      <c r="AA23">
        <v>199800</v>
      </c>
      <c r="AB23">
        <v>200600</v>
      </c>
      <c r="AC23">
        <v>201400</v>
      </c>
      <c r="AD23">
        <v>202300</v>
      </c>
      <c r="AE23">
        <v>203000</v>
      </c>
      <c r="AF23">
        <v>203700</v>
      </c>
      <c r="AG23">
        <v>204200</v>
      </c>
      <c r="AH23">
        <v>204700</v>
      </c>
      <c r="AI23">
        <v>205000</v>
      </c>
      <c r="AJ23">
        <v>205400</v>
      </c>
      <c r="AK23">
        <v>205900</v>
      </c>
      <c r="AL23">
        <v>206300</v>
      </c>
      <c r="AM23">
        <v>206800</v>
      </c>
      <c r="AN23">
        <v>207200</v>
      </c>
      <c r="AO23">
        <v>207800</v>
      </c>
      <c r="AP23">
        <v>208400</v>
      </c>
      <c r="AQ23">
        <v>208900</v>
      </c>
      <c r="AR23">
        <v>209400</v>
      </c>
      <c r="AS23">
        <v>209700</v>
      </c>
      <c r="AT23">
        <v>210000</v>
      </c>
      <c r="AU23">
        <v>210400</v>
      </c>
      <c r="AV23">
        <v>210800</v>
      </c>
      <c r="AW23">
        <v>211300</v>
      </c>
      <c r="AX23">
        <v>211900</v>
      </c>
      <c r="AY23">
        <v>212500</v>
      </c>
      <c r="AZ23">
        <v>213000</v>
      </c>
      <c r="BA23">
        <v>213500</v>
      </c>
      <c r="BB23">
        <v>214000</v>
      </c>
      <c r="BC23">
        <v>214400</v>
      </c>
      <c r="BD23">
        <v>214900</v>
      </c>
      <c r="BE23">
        <v>215400</v>
      </c>
      <c r="BF23">
        <v>216000</v>
      </c>
      <c r="BG23">
        <v>216600</v>
      </c>
      <c r="BH23">
        <v>217300</v>
      </c>
      <c r="BI23">
        <v>218000</v>
      </c>
      <c r="BJ23">
        <v>218700</v>
      </c>
      <c r="BK23">
        <v>219400</v>
      </c>
      <c r="BL23">
        <v>220200</v>
      </c>
      <c r="BM23">
        <v>220900</v>
      </c>
      <c r="BN23">
        <v>221600</v>
      </c>
      <c r="BO23">
        <v>222400</v>
      </c>
      <c r="BP23">
        <v>223000</v>
      </c>
      <c r="BQ23">
        <v>223600</v>
      </c>
      <c r="BR23">
        <v>224200</v>
      </c>
      <c r="BS23">
        <v>224700</v>
      </c>
      <c r="BT23">
        <v>225400</v>
      </c>
      <c r="BU23">
        <v>226100</v>
      </c>
      <c r="BV23">
        <v>226700</v>
      </c>
      <c r="BW23">
        <v>227400</v>
      </c>
      <c r="BX23">
        <v>228100</v>
      </c>
      <c r="BY23">
        <v>228700</v>
      </c>
      <c r="BZ23">
        <v>229400</v>
      </c>
      <c r="CA23">
        <v>230000</v>
      </c>
      <c r="CB23">
        <v>230600</v>
      </c>
      <c r="CC23">
        <v>231000</v>
      </c>
      <c r="CD23">
        <v>231300</v>
      </c>
      <c r="CE23">
        <v>231600</v>
      </c>
      <c r="CF23">
        <v>231700</v>
      </c>
      <c r="CG23">
        <v>231800</v>
      </c>
      <c r="CH23">
        <v>231800</v>
      </c>
      <c r="CI23">
        <v>231900</v>
      </c>
      <c r="CJ23">
        <v>232000</v>
      </c>
      <c r="CK23">
        <v>232000</v>
      </c>
      <c r="CL23">
        <v>232200</v>
      </c>
      <c r="CM23">
        <v>232400</v>
      </c>
      <c r="CN23">
        <v>232500</v>
      </c>
      <c r="CO23">
        <v>232500</v>
      </c>
      <c r="CP23">
        <v>232400</v>
      </c>
      <c r="CQ23">
        <v>232100</v>
      </c>
      <c r="CR23">
        <v>231600</v>
      </c>
      <c r="CS23">
        <v>230800</v>
      </c>
      <c r="CT23">
        <v>229700</v>
      </c>
      <c r="CU23">
        <v>228700</v>
      </c>
      <c r="CV23">
        <v>227600</v>
      </c>
      <c r="CW23">
        <v>226500</v>
      </c>
      <c r="CX23">
        <v>225500</v>
      </c>
      <c r="CY23">
        <v>224700</v>
      </c>
      <c r="CZ23">
        <v>224000</v>
      </c>
      <c r="DA23">
        <v>223300</v>
      </c>
      <c r="DB23">
        <v>222600</v>
      </c>
      <c r="DC23">
        <v>221900</v>
      </c>
      <c r="DD23">
        <v>221300</v>
      </c>
      <c r="DE23">
        <v>220800</v>
      </c>
      <c r="DF23">
        <v>220500</v>
      </c>
      <c r="DG23">
        <v>220200</v>
      </c>
      <c r="DH23">
        <v>220100</v>
      </c>
      <c r="DI23">
        <v>219900</v>
      </c>
      <c r="DJ23">
        <v>219500</v>
      </c>
      <c r="DK23">
        <v>218800</v>
      </c>
      <c r="DL23">
        <v>217800</v>
      </c>
      <c r="DM23">
        <v>216800</v>
      </c>
      <c r="DN23">
        <v>216200</v>
      </c>
      <c r="DO23">
        <v>216100</v>
      </c>
      <c r="DP23">
        <v>216100</v>
      </c>
      <c r="DQ23">
        <v>216200</v>
      </c>
      <c r="DR23">
        <v>216200</v>
      </c>
      <c r="DS23">
        <v>216400</v>
      </c>
      <c r="DT23">
        <v>216700</v>
      </c>
      <c r="DU23">
        <v>217100</v>
      </c>
      <c r="DV23">
        <v>216700</v>
      </c>
      <c r="DW23">
        <v>215900</v>
      </c>
      <c r="DX23">
        <v>215400</v>
      </c>
      <c r="DY23">
        <v>215100</v>
      </c>
      <c r="DZ23">
        <v>214300</v>
      </c>
      <c r="EA23">
        <v>213300</v>
      </c>
      <c r="EB23">
        <v>212300</v>
      </c>
      <c r="EC23">
        <v>211400</v>
      </c>
      <c r="ED23">
        <v>210600</v>
      </c>
      <c r="EE23">
        <v>209500</v>
      </c>
      <c r="EF23">
        <v>208400</v>
      </c>
      <c r="EG23">
        <v>207400</v>
      </c>
      <c r="EH23">
        <v>207000</v>
      </c>
      <c r="EI23">
        <v>206600</v>
      </c>
      <c r="EJ23">
        <v>206000</v>
      </c>
      <c r="EK23">
        <v>205600</v>
      </c>
      <c r="EL23">
        <v>205100</v>
      </c>
      <c r="EM23">
        <v>204900</v>
      </c>
      <c r="EN23">
        <v>204900</v>
      </c>
      <c r="EO23">
        <v>205100</v>
      </c>
      <c r="EP23">
        <v>205500</v>
      </c>
      <c r="EQ23">
        <v>206000</v>
      </c>
      <c r="ER23">
        <v>206500</v>
      </c>
      <c r="ES23">
        <v>207000</v>
      </c>
      <c r="ET23">
        <v>207700</v>
      </c>
      <c r="EU23">
        <v>208700</v>
      </c>
      <c r="EV23">
        <v>210000</v>
      </c>
      <c r="EW23">
        <v>211400</v>
      </c>
      <c r="EX23">
        <v>212700</v>
      </c>
      <c r="EY23">
        <v>213900</v>
      </c>
      <c r="EZ23">
        <v>215100</v>
      </c>
      <c r="FA23">
        <v>216600</v>
      </c>
      <c r="FB23">
        <v>218000</v>
      </c>
      <c r="FC23">
        <v>219000</v>
      </c>
      <c r="FD23">
        <v>219900</v>
      </c>
      <c r="FE23">
        <v>221000</v>
      </c>
      <c r="FF23">
        <v>222600</v>
      </c>
      <c r="FG23">
        <v>224200</v>
      </c>
      <c r="FH23">
        <v>225700</v>
      </c>
      <c r="FI23">
        <v>227300</v>
      </c>
      <c r="FJ23">
        <v>229400</v>
      </c>
      <c r="FK23">
        <v>231500</v>
      </c>
      <c r="FL23">
        <v>233000</v>
      </c>
      <c r="FM23">
        <v>234200</v>
      </c>
      <c r="FN23">
        <v>235400</v>
      </c>
      <c r="FO23">
        <v>236700</v>
      </c>
      <c r="FP23">
        <v>237800</v>
      </c>
      <c r="FQ23">
        <v>238800</v>
      </c>
      <c r="FR23">
        <v>239800</v>
      </c>
      <c r="FS23">
        <v>241400</v>
      </c>
      <c r="FT23">
        <v>243500</v>
      </c>
      <c r="FU23">
        <v>245300</v>
      </c>
      <c r="FV23">
        <v>247100</v>
      </c>
      <c r="FW23">
        <v>249200</v>
      </c>
      <c r="FX23">
        <v>251300</v>
      </c>
      <c r="FY23">
        <v>253500</v>
      </c>
      <c r="FZ23">
        <v>255900</v>
      </c>
      <c r="GA23">
        <v>258500</v>
      </c>
      <c r="GB23">
        <v>261200</v>
      </c>
      <c r="GC23">
        <v>263700</v>
      </c>
      <c r="GD23">
        <v>266500</v>
      </c>
      <c r="GE23">
        <v>269600</v>
      </c>
      <c r="GF23">
        <v>272900</v>
      </c>
      <c r="GG23">
        <v>276200</v>
      </c>
      <c r="GH23">
        <v>279300</v>
      </c>
      <c r="GI23">
        <v>282400</v>
      </c>
      <c r="GJ23">
        <v>285600</v>
      </c>
      <c r="GK23">
        <v>288600</v>
      </c>
      <c r="GL23">
        <v>291000</v>
      </c>
      <c r="GM23">
        <v>293500</v>
      </c>
      <c r="GN23">
        <v>295900</v>
      </c>
      <c r="GO23">
        <v>298500</v>
      </c>
      <c r="GP23">
        <v>301300</v>
      </c>
      <c r="GQ23">
        <v>304100</v>
      </c>
      <c r="GR23">
        <v>306700</v>
      </c>
      <c r="GS23">
        <v>309400</v>
      </c>
      <c r="GT23">
        <v>312300</v>
      </c>
      <c r="GU23">
        <v>314900</v>
      </c>
      <c r="GV23">
        <v>317200</v>
      </c>
      <c r="GW23">
        <v>319300</v>
      </c>
      <c r="GX23">
        <v>322000</v>
      </c>
      <c r="GY23">
        <v>324700</v>
      </c>
      <c r="GZ23">
        <v>327500</v>
      </c>
      <c r="HA23">
        <v>330900</v>
      </c>
      <c r="HB23">
        <v>334300</v>
      </c>
      <c r="HC23">
        <v>336700</v>
      </c>
      <c r="HD23">
        <v>338600</v>
      </c>
      <c r="HE23">
        <v>340000</v>
      </c>
      <c r="HF23">
        <v>341300</v>
      </c>
      <c r="HG23">
        <v>342800</v>
      </c>
      <c r="HH23">
        <v>344600</v>
      </c>
      <c r="HI23">
        <v>346600</v>
      </c>
      <c r="HJ23">
        <v>348600</v>
      </c>
      <c r="HK23">
        <v>350800</v>
      </c>
      <c r="HL23">
        <v>354400</v>
      </c>
      <c r="HM23">
        <v>358600</v>
      </c>
      <c r="HN23">
        <v>361600</v>
      </c>
      <c r="HO23">
        <v>363300</v>
      </c>
      <c r="HP23">
        <v>364700</v>
      </c>
      <c r="HQ23">
        <v>365800</v>
      </c>
      <c r="HR23">
        <v>366600</v>
      </c>
      <c r="HS23">
        <v>367300</v>
      </c>
      <c r="HT23">
        <v>368100</v>
      </c>
    </row>
    <row r="24" spans="1:228" x14ac:dyDescent="0.3">
      <c r="A24">
        <v>4</v>
      </c>
      <c r="B24" t="s">
        <v>250</v>
      </c>
      <c r="C24">
        <v>23</v>
      </c>
      <c r="D24">
        <v>85900</v>
      </c>
      <c r="E24">
        <v>86000</v>
      </c>
      <c r="F24">
        <v>86100</v>
      </c>
      <c r="G24">
        <v>86300</v>
      </c>
      <c r="H24">
        <v>86400</v>
      </c>
      <c r="I24">
        <v>86400</v>
      </c>
      <c r="J24">
        <v>86500</v>
      </c>
      <c r="K24">
        <v>86700</v>
      </c>
      <c r="L24">
        <v>87000</v>
      </c>
      <c r="M24">
        <v>87300</v>
      </c>
      <c r="N24">
        <v>87600</v>
      </c>
      <c r="O24">
        <v>88100</v>
      </c>
      <c r="P24">
        <v>88500</v>
      </c>
      <c r="Q24">
        <v>89000</v>
      </c>
      <c r="R24">
        <v>89400</v>
      </c>
      <c r="S24">
        <v>89700</v>
      </c>
      <c r="T24">
        <v>90000</v>
      </c>
      <c r="U24">
        <v>90300</v>
      </c>
      <c r="V24">
        <v>90700</v>
      </c>
      <c r="W24">
        <v>90900</v>
      </c>
      <c r="X24">
        <v>91200</v>
      </c>
      <c r="Y24">
        <v>91400</v>
      </c>
      <c r="Z24">
        <v>91600</v>
      </c>
      <c r="AA24">
        <v>91800</v>
      </c>
      <c r="AB24">
        <v>92000</v>
      </c>
      <c r="AC24">
        <v>92200</v>
      </c>
      <c r="AD24">
        <v>92500</v>
      </c>
      <c r="AE24">
        <v>92700</v>
      </c>
      <c r="AF24">
        <v>93000</v>
      </c>
      <c r="AG24">
        <v>93200</v>
      </c>
      <c r="AH24">
        <v>93400</v>
      </c>
      <c r="AI24">
        <v>93700</v>
      </c>
      <c r="AJ24">
        <v>94000</v>
      </c>
      <c r="AK24">
        <v>94200</v>
      </c>
      <c r="AL24">
        <v>94500</v>
      </c>
      <c r="AM24">
        <v>94800</v>
      </c>
      <c r="AN24">
        <v>95200</v>
      </c>
      <c r="AO24">
        <v>95500</v>
      </c>
      <c r="AP24">
        <v>95800</v>
      </c>
      <c r="AQ24">
        <v>96100</v>
      </c>
      <c r="AR24">
        <v>96400</v>
      </c>
      <c r="AS24">
        <v>96800</v>
      </c>
      <c r="AT24">
        <v>97100</v>
      </c>
      <c r="AU24">
        <v>97500</v>
      </c>
      <c r="AV24">
        <v>97900</v>
      </c>
      <c r="AW24">
        <v>98200</v>
      </c>
      <c r="AX24">
        <v>98500</v>
      </c>
      <c r="AY24">
        <v>98800</v>
      </c>
      <c r="AZ24">
        <v>99100</v>
      </c>
      <c r="BA24">
        <v>99400</v>
      </c>
      <c r="BB24">
        <v>99800</v>
      </c>
      <c r="BC24">
        <v>100100</v>
      </c>
      <c r="BD24">
        <v>100400</v>
      </c>
      <c r="BE24">
        <v>100800</v>
      </c>
      <c r="BF24">
        <v>101200</v>
      </c>
      <c r="BG24">
        <v>101700</v>
      </c>
      <c r="BH24">
        <v>102400</v>
      </c>
      <c r="BI24">
        <v>103000</v>
      </c>
      <c r="BJ24">
        <v>103600</v>
      </c>
      <c r="BK24">
        <v>103900</v>
      </c>
      <c r="BL24">
        <v>103800</v>
      </c>
      <c r="BM24">
        <v>103200</v>
      </c>
      <c r="BN24">
        <v>102300</v>
      </c>
      <c r="BO24">
        <v>101100</v>
      </c>
      <c r="BP24">
        <v>100000</v>
      </c>
      <c r="BQ24">
        <v>99200</v>
      </c>
      <c r="BR24">
        <v>98600</v>
      </c>
      <c r="BS24">
        <v>98200</v>
      </c>
      <c r="BT24">
        <v>97900</v>
      </c>
      <c r="BU24">
        <v>97800</v>
      </c>
      <c r="BV24">
        <v>97900</v>
      </c>
      <c r="BW24">
        <v>98400</v>
      </c>
      <c r="BX24">
        <v>99200</v>
      </c>
      <c r="BY24">
        <v>100500</v>
      </c>
      <c r="BZ24">
        <v>102200</v>
      </c>
      <c r="CA24">
        <v>104200</v>
      </c>
      <c r="CB24">
        <v>106200</v>
      </c>
      <c r="CC24">
        <v>108000</v>
      </c>
      <c r="CD24">
        <v>109500</v>
      </c>
      <c r="CE24">
        <v>110500</v>
      </c>
      <c r="CF24">
        <v>111300</v>
      </c>
      <c r="CG24">
        <v>111700</v>
      </c>
      <c r="CH24">
        <v>111900</v>
      </c>
      <c r="CI24">
        <v>111900</v>
      </c>
      <c r="CJ24">
        <v>112000</v>
      </c>
      <c r="CK24">
        <v>112100</v>
      </c>
      <c r="CL24">
        <v>112200</v>
      </c>
      <c r="CM24">
        <v>112500</v>
      </c>
      <c r="CN24">
        <v>112700</v>
      </c>
      <c r="CO24">
        <v>112700</v>
      </c>
      <c r="CP24">
        <v>112700</v>
      </c>
      <c r="CQ24">
        <v>112600</v>
      </c>
      <c r="CR24">
        <v>112400</v>
      </c>
      <c r="CS24">
        <v>112300</v>
      </c>
      <c r="CT24">
        <v>112200</v>
      </c>
      <c r="CU24">
        <v>112100</v>
      </c>
      <c r="CV24">
        <v>112100</v>
      </c>
      <c r="CW24">
        <v>112000</v>
      </c>
      <c r="CX24">
        <v>111900</v>
      </c>
      <c r="CY24">
        <v>111900</v>
      </c>
      <c r="CZ24">
        <v>111700</v>
      </c>
      <c r="DA24">
        <v>111400</v>
      </c>
      <c r="DB24">
        <v>110900</v>
      </c>
      <c r="DC24">
        <v>110400</v>
      </c>
      <c r="DD24">
        <v>109900</v>
      </c>
      <c r="DE24">
        <v>109500</v>
      </c>
      <c r="DF24">
        <v>109100</v>
      </c>
      <c r="DG24">
        <v>108700</v>
      </c>
      <c r="DH24">
        <v>108300</v>
      </c>
      <c r="DI24">
        <v>107800</v>
      </c>
      <c r="DJ24">
        <v>107400</v>
      </c>
      <c r="DK24">
        <v>106900</v>
      </c>
      <c r="DL24">
        <v>106500</v>
      </c>
      <c r="DM24">
        <v>105800</v>
      </c>
      <c r="DN24">
        <v>105200</v>
      </c>
      <c r="DO24">
        <v>104700</v>
      </c>
      <c r="DP24">
        <v>104300</v>
      </c>
      <c r="DQ24">
        <v>104000</v>
      </c>
      <c r="DR24">
        <v>103700</v>
      </c>
      <c r="DS24">
        <v>103600</v>
      </c>
      <c r="DT24">
        <v>103600</v>
      </c>
      <c r="DU24">
        <v>103600</v>
      </c>
      <c r="DV24">
        <v>103100</v>
      </c>
      <c r="DW24">
        <v>102200</v>
      </c>
      <c r="DX24">
        <v>101800</v>
      </c>
      <c r="DY24">
        <v>101800</v>
      </c>
      <c r="DZ24">
        <v>101500</v>
      </c>
      <c r="EA24">
        <v>101100</v>
      </c>
      <c r="EB24">
        <v>100700</v>
      </c>
      <c r="EC24">
        <v>100300</v>
      </c>
      <c r="ED24">
        <v>99800</v>
      </c>
      <c r="EE24">
        <v>99300</v>
      </c>
      <c r="EF24">
        <v>98500</v>
      </c>
      <c r="EG24">
        <v>97800</v>
      </c>
      <c r="EH24">
        <v>97300</v>
      </c>
      <c r="EI24">
        <v>97000</v>
      </c>
      <c r="EJ24">
        <v>96800</v>
      </c>
      <c r="EK24">
        <v>96600</v>
      </c>
      <c r="EL24">
        <v>96700</v>
      </c>
      <c r="EM24">
        <v>96500</v>
      </c>
      <c r="EN24">
        <v>95900</v>
      </c>
      <c r="EO24">
        <v>95500</v>
      </c>
      <c r="EP24">
        <v>95400</v>
      </c>
      <c r="EQ24">
        <v>95200</v>
      </c>
      <c r="ER24">
        <v>95100</v>
      </c>
      <c r="ES24">
        <v>95400</v>
      </c>
      <c r="ET24">
        <v>95700</v>
      </c>
      <c r="EU24">
        <v>95700</v>
      </c>
      <c r="EV24">
        <v>95400</v>
      </c>
      <c r="EW24">
        <v>95300</v>
      </c>
      <c r="EX24">
        <v>95700</v>
      </c>
      <c r="EY24">
        <v>96900</v>
      </c>
      <c r="EZ24">
        <v>98500</v>
      </c>
      <c r="FA24">
        <v>99700</v>
      </c>
      <c r="FB24">
        <v>100500</v>
      </c>
      <c r="FC24">
        <v>101200</v>
      </c>
      <c r="FD24">
        <v>102100</v>
      </c>
      <c r="FE24">
        <v>103000</v>
      </c>
      <c r="FF24">
        <v>104200</v>
      </c>
      <c r="FG24">
        <v>105400</v>
      </c>
      <c r="FH24">
        <v>106300</v>
      </c>
      <c r="FI24">
        <v>107000</v>
      </c>
      <c r="FJ24">
        <v>107500</v>
      </c>
      <c r="FK24">
        <v>107800</v>
      </c>
      <c r="FL24">
        <v>108100</v>
      </c>
      <c r="FM24">
        <v>108500</v>
      </c>
      <c r="FN24">
        <v>108900</v>
      </c>
      <c r="FO24">
        <v>109400</v>
      </c>
      <c r="FP24">
        <v>110000</v>
      </c>
      <c r="FQ24">
        <v>110100</v>
      </c>
      <c r="FR24">
        <v>109900</v>
      </c>
      <c r="FS24">
        <v>109800</v>
      </c>
      <c r="FT24">
        <v>109900</v>
      </c>
      <c r="FU24">
        <v>110200</v>
      </c>
      <c r="FV24">
        <v>110500</v>
      </c>
      <c r="FW24">
        <v>110800</v>
      </c>
      <c r="FX24">
        <v>111100</v>
      </c>
      <c r="FY24">
        <v>111600</v>
      </c>
      <c r="FZ24">
        <v>112200</v>
      </c>
      <c r="GA24">
        <v>112700</v>
      </c>
      <c r="GB24">
        <v>112800</v>
      </c>
      <c r="GC24">
        <v>112500</v>
      </c>
      <c r="GD24">
        <v>112400</v>
      </c>
      <c r="GE24">
        <v>112500</v>
      </c>
      <c r="GF24">
        <v>112700</v>
      </c>
      <c r="GG24">
        <v>113100</v>
      </c>
      <c r="GH24">
        <v>113300</v>
      </c>
      <c r="GI24">
        <v>113400</v>
      </c>
      <c r="GJ24">
        <v>113600</v>
      </c>
      <c r="GK24">
        <v>114000</v>
      </c>
      <c r="GL24">
        <v>114400</v>
      </c>
      <c r="GM24">
        <v>114800</v>
      </c>
      <c r="GN24">
        <v>115300</v>
      </c>
      <c r="GO24">
        <v>115700</v>
      </c>
      <c r="GP24">
        <v>115900</v>
      </c>
      <c r="GQ24">
        <v>116300</v>
      </c>
      <c r="GR24">
        <v>116800</v>
      </c>
      <c r="GS24">
        <v>117200</v>
      </c>
      <c r="GT24">
        <v>117600</v>
      </c>
      <c r="GU24">
        <v>117900</v>
      </c>
      <c r="GV24">
        <v>117800</v>
      </c>
      <c r="GW24">
        <v>117900</v>
      </c>
      <c r="GX24">
        <v>118200</v>
      </c>
      <c r="GY24">
        <v>118400</v>
      </c>
      <c r="GZ24">
        <v>118600</v>
      </c>
      <c r="HA24">
        <v>118800</v>
      </c>
      <c r="HB24">
        <v>119100</v>
      </c>
      <c r="HC24">
        <v>119600</v>
      </c>
      <c r="HD24">
        <v>120300</v>
      </c>
      <c r="HE24">
        <v>120300</v>
      </c>
      <c r="HF24">
        <v>120100</v>
      </c>
      <c r="HG24">
        <v>120200</v>
      </c>
      <c r="HH24">
        <v>120600</v>
      </c>
      <c r="HI24">
        <v>120800</v>
      </c>
      <c r="HJ24">
        <v>121000</v>
      </c>
      <c r="HK24">
        <v>121400</v>
      </c>
      <c r="HL24">
        <v>122300</v>
      </c>
      <c r="HM24">
        <v>123400</v>
      </c>
      <c r="HN24">
        <v>124600</v>
      </c>
      <c r="HO24">
        <v>125500</v>
      </c>
      <c r="HP24">
        <v>126100</v>
      </c>
      <c r="HQ24">
        <v>126500</v>
      </c>
      <c r="HR24">
        <v>127300</v>
      </c>
      <c r="HS24">
        <v>128000</v>
      </c>
      <c r="HT24">
        <v>128300</v>
      </c>
    </row>
    <row r="25" spans="1:228" x14ac:dyDescent="0.3">
      <c r="A25">
        <v>51</v>
      </c>
      <c r="B25" t="s">
        <v>251</v>
      </c>
      <c r="C25">
        <v>24</v>
      </c>
      <c r="D25">
        <v>96100</v>
      </c>
      <c r="E25">
        <v>97300</v>
      </c>
      <c r="F25">
        <v>98400</v>
      </c>
      <c r="G25">
        <v>99500</v>
      </c>
      <c r="H25">
        <v>100400</v>
      </c>
      <c r="I25">
        <v>101100</v>
      </c>
      <c r="J25">
        <v>101600</v>
      </c>
      <c r="K25">
        <v>102000</v>
      </c>
      <c r="L25">
        <v>102200</v>
      </c>
      <c r="M25">
        <v>102400</v>
      </c>
      <c r="N25">
        <v>102500</v>
      </c>
      <c r="O25">
        <v>102700</v>
      </c>
      <c r="P25">
        <v>102900</v>
      </c>
      <c r="Q25">
        <v>103100</v>
      </c>
      <c r="R25">
        <v>103400</v>
      </c>
      <c r="S25">
        <v>103600</v>
      </c>
      <c r="T25">
        <v>104000</v>
      </c>
      <c r="U25">
        <v>104300</v>
      </c>
      <c r="V25">
        <v>104700</v>
      </c>
      <c r="W25">
        <v>105000</v>
      </c>
      <c r="X25">
        <v>105200</v>
      </c>
      <c r="Y25">
        <v>105400</v>
      </c>
      <c r="Z25">
        <v>105500</v>
      </c>
      <c r="AA25">
        <v>105500</v>
      </c>
      <c r="AB25">
        <v>105400</v>
      </c>
      <c r="AC25">
        <v>105300</v>
      </c>
      <c r="AD25">
        <v>105300</v>
      </c>
      <c r="AE25">
        <v>105300</v>
      </c>
      <c r="AF25">
        <v>105600</v>
      </c>
      <c r="AG25">
        <v>106000</v>
      </c>
      <c r="AH25">
        <v>106500</v>
      </c>
      <c r="AI25">
        <v>107000</v>
      </c>
      <c r="AJ25">
        <v>107600</v>
      </c>
      <c r="AK25">
        <v>108200</v>
      </c>
      <c r="AL25">
        <v>108800</v>
      </c>
      <c r="AM25">
        <v>109200</v>
      </c>
      <c r="AN25">
        <v>109600</v>
      </c>
      <c r="AO25">
        <v>109800</v>
      </c>
      <c r="AP25">
        <v>110100</v>
      </c>
      <c r="AQ25">
        <v>110500</v>
      </c>
      <c r="AR25">
        <v>110900</v>
      </c>
      <c r="AS25">
        <v>111300</v>
      </c>
      <c r="AT25">
        <v>111700</v>
      </c>
      <c r="AU25">
        <v>112300</v>
      </c>
      <c r="AV25">
        <v>112900</v>
      </c>
      <c r="AW25">
        <v>113400</v>
      </c>
      <c r="AX25">
        <v>114100</v>
      </c>
      <c r="AY25">
        <v>114700</v>
      </c>
      <c r="AZ25">
        <v>115400</v>
      </c>
      <c r="BA25">
        <v>116100</v>
      </c>
      <c r="BB25">
        <v>116800</v>
      </c>
      <c r="BC25">
        <v>117400</v>
      </c>
      <c r="BD25">
        <v>118100</v>
      </c>
      <c r="BE25">
        <v>118800</v>
      </c>
      <c r="BF25">
        <v>119400</v>
      </c>
      <c r="BG25">
        <v>120100</v>
      </c>
      <c r="BH25">
        <v>120800</v>
      </c>
      <c r="BI25">
        <v>121500</v>
      </c>
      <c r="BJ25">
        <v>122200</v>
      </c>
      <c r="BK25">
        <v>123000</v>
      </c>
      <c r="BL25">
        <v>123800</v>
      </c>
      <c r="BM25">
        <v>124700</v>
      </c>
      <c r="BN25">
        <v>125500</v>
      </c>
      <c r="BO25">
        <v>126400</v>
      </c>
      <c r="BP25">
        <v>127400</v>
      </c>
      <c r="BQ25">
        <v>128300</v>
      </c>
      <c r="BR25">
        <v>129300</v>
      </c>
      <c r="BS25">
        <v>130200</v>
      </c>
      <c r="BT25">
        <v>131100</v>
      </c>
      <c r="BU25">
        <v>132000</v>
      </c>
      <c r="BV25">
        <v>132800</v>
      </c>
      <c r="BW25">
        <v>133700</v>
      </c>
      <c r="BX25">
        <v>134600</v>
      </c>
      <c r="BY25">
        <v>135500</v>
      </c>
      <c r="BZ25">
        <v>136500</v>
      </c>
      <c r="CA25">
        <v>137600</v>
      </c>
      <c r="CB25">
        <v>138500</v>
      </c>
      <c r="CC25">
        <v>139400</v>
      </c>
      <c r="CD25">
        <v>140400</v>
      </c>
      <c r="CE25">
        <v>141300</v>
      </c>
      <c r="CF25">
        <v>142200</v>
      </c>
      <c r="CG25">
        <v>142900</v>
      </c>
      <c r="CH25">
        <v>143400</v>
      </c>
      <c r="CI25">
        <v>143800</v>
      </c>
      <c r="CJ25">
        <v>144100</v>
      </c>
      <c r="CK25">
        <v>144300</v>
      </c>
      <c r="CL25">
        <v>144400</v>
      </c>
      <c r="CM25">
        <v>144600</v>
      </c>
      <c r="CN25">
        <v>144600</v>
      </c>
      <c r="CO25">
        <v>144500</v>
      </c>
      <c r="CP25">
        <v>144400</v>
      </c>
      <c r="CQ25">
        <v>144100</v>
      </c>
      <c r="CR25">
        <v>143800</v>
      </c>
      <c r="CS25">
        <v>143600</v>
      </c>
      <c r="CT25">
        <v>143400</v>
      </c>
      <c r="CU25">
        <v>143200</v>
      </c>
      <c r="CV25">
        <v>143000</v>
      </c>
      <c r="CW25">
        <v>142900</v>
      </c>
      <c r="CX25">
        <v>142600</v>
      </c>
      <c r="CY25">
        <v>142300</v>
      </c>
      <c r="CZ25">
        <v>141900</v>
      </c>
      <c r="DA25">
        <v>141400</v>
      </c>
      <c r="DB25">
        <v>140700</v>
      </c>
      <c r="DC25">
        <v>139900</v>
      </c>
      <c r="DD25">
        <v>139200</v>
      </c>
      <c r="DE25">
        <v>138500</v>
      </c>
      <c r="DF25">
        <v>137800</v>
      </c>
      <c r="DG25">
        <v>137100</v>
      </c>
      <c r="DH25">
        <v>136500</v>
      </c>
      <c r="DI25">
        <v>135900</v>
      </c>
      <c r="DJ25">
        <v>135300</v>
      </c>
      <c r="DK25">
        <v>134700</v>
      </c>
      <c r="DL25">
        <v>133900</v>
      </c>
      <c r="DM25">
        <v>133200</v>
      </c>
      <c r="DN25">
        <v>132600</v>
      </c>
      <c r="DO25">
        <v>132200</v>
      </c>
      <c r="DP25">
        <v>132000</v>
      </c>
      <c r="DQ25">
        <v>131800</v>
      </c>
      <c r="DR25">
        <v>131700</v>
      </c>
      <c r="DS25">
        <v>131700</v>
      </c>
      <c r="DT25">
        <v>131600</v>
      </c>
      <c r="DU25">
        <v>131700</v>
      </c>
      <c r="DV25">
        <v>131500</v>
      </c>
      <c r="DW25">
        <v>131100</v>
      </c>
      <c r="DX25">
        <v>130700</v>
      </c>
      <c r="DY25">
        <v>130400</v>
      </c>
      <c r="DZ25">
        <v>130100</v>
      </c>
      <c r="EA25">
        <v>129600</v>
      </c>
      <c r="EB25">
        <v>128900</v>
      </c>
      <c r="EC25">
        <v>128100</v>
      </c>
      <c r="ED25">
        <v>127300</v>
      </c>
      <c r="EE25">
        <v>126600</v>
      </c>
      <c r="EF25">
        <v>125800</v>
      </c>
      <c r="EG25">
        <v>124900</v>
      </c>
      <c r="EH25">
        <v>124000</v>
      </c>
      <c r="EI25">
        <v>123300</v>
      </c>
      <c r="EJ25">
        <v>122900</v>
      </c>
      <c r="EK25">
        <v>122500</v>
      </c>
      <c r="EL25">
        <v>122200</v>
      </c>
      <c r="EM25">
        <v>122000</v>
      </c>
      <c r="EN25">
        <v>121700</v>
      </c>
      <c r="EO25">
        <v>121300</v>
      </c>
      <c r="EP25">
        <v>121100</v>
      </c>
      <c r="EQ25">
        <v>121100</v>
      </c>
      <c r="ER25">
        <v>120900</v>
      </c>
      <c r="ES25">
        <v>120700</v>
      </c>
      <c r="ET25">
        <v>120800</v>
      </c>
      <c r="EU25">
        <v>121000</v>
      </c>
      <c r="EV25">
        <v>121100</v>
      </c>
      <c r="EW25">
        <v>121000</v>
      </c>
      <c r="EX25">
        <v>121000</v>
      </c>
      <c r="EY25">
        <v>120900</v>
      </c>
      <c r="EZ25">
        <v>121100</v>
      </c>
      <c r="FA25">
        <v>121300</v>
      </c>
      <c r="FB25">
        <v>121500</v>
      </c>
      <c r="FC25">
        <v>121500</v>
      </c>
      <c r="FD25">
        <v>121700</v>
      </c>
      <c r="FE25">
        <v>121700</v>
      </c>
      <c r="FF25">
        <v>121800</v>
      </c>
      <c r="FG25">
        <v>122200</v>
      </c>
      <c r="FH25">
        <v>122600</v>
      </c>
      <c r="FI25">
        <v>123000</v>
      </c>
      <c r="FJ25">
        <v>123400</v>
      </c>
      <c r="FK25">
        <v>123800</v>
      </c>
      <c r="FL25">
        <v>124200</v>
      </c>
      <c r="FM25">
        <v>124500</v>
      </c>
      <c r="FN25">
        <v>124800</v>
      </c>
      <c r="FO25">
        <v>125100</v>
      </c>
      <c r="FP25">
        <v>125200</v>
      </c>
      <c r="FQ25">
        <v>125500</v>
      </c>
      <c r="FR25">
        <v>125800</v>
      </c>
      <c r="FS25">
        <v>126100</v>
      </c>
      <c r="FT25">
        <v>126200</v>
      </c>
      <c r="FU25">
        <v>126300</v>
      </c>
      <c r="FV25">
        <v>126300</v>
      </c>
      <c r="FW25">
        <v>126400</v>
      </c>
      <c r="FX25">
        <v>126400</v>
      </c>
      <c r="FY25">
        <v>126500</v>
      </c>
      <c r="FZ25">
        <v>126600</v>
      </c>
      <c r="GA25">
        <v>126800</v>
      </c>
      <c r="GB25">
        <v>127300</v>
      </c>
      <c r="GC25">
        <v>127800</v>
      </c>
      <c r="GD25">
        <v>128000</v>
      </c>
      <c r="GE25">
        <v>128400</v>
      </c>
      <c r="GF25">
        <v>128900</v>
      </c>
      <c r="GG25">
        <v>129300</v>
      </c>
      <c r="GH25">
        <v>129700</v>
      </c>
      <c r="GI25">
        <v>130000</v>
      </c>
      <c r="GJ25">
        <v>130400</v>
      </c>
      <c r="GK25">
        <v>130900</v>
      </c>
      <c r="GL25">
        <v>131700</v>
      </c>
      <c r="GM25">
        <v>132400</v>
      </c>
      <c r="GN25">
        <v>133100</v>
      </c>
      <c r="GO25">
        <v>133800</v>
      </c>
      <c r="GP25">
        <v>134700</v>
      </c>
      <c r="GQ25">
        <v>135800</v>
      </c>
      <c r="GR25">
        <v>136700</v>
      </c>
      <c r="GS25">
        <v>137700</v>
      </c>
      <c r="GT25">
        <v>138900</v>
      </c>
      <c r="GU25">
        <v>140200</v>
      </c>
      <c r="GV25">
        <v>141300</v>
      </c>
      <c r="GW25">
        <v>142200</v>
      </c>
      <c r="GX25">
        <v>143300</v>
      </c>
      <c r="GY25">
        <v>144400</v>
      </c>
      <c r="GZ25">
        <v>145300</v>
      </c>
      <c r="HA25">
        <v>146100</v>
      </c>
      <c r="HB25">
        <v>146900</v>
      </c>
      <c r="HC25">
        <v>147400</v>
      </c>
      <c r="HD25">
        <v>147800</v>
      </c>
      <c r="HE25">
        <v>148400</v>
      </c>
      <c r="HF25">
        <v>149100</v>
      </c>
      <c r="HG25">
        <v>149900</v>
      </c>
      <c r="HH25">
        <v>150700</v>
      </c>
      <c r="HI25">
        <v>151500</v>
      </c>
      <c r="HJ25">
        <v>152300</v>
      </c>
      <c r="HK25">
        <v>153100</v>
      </c>
      <c r="HL25">
        <v>154200</v>
      </c>
      <c r="HM25">
        <v>155700</v>
      </c>
      <c r="HN25">
        <v>156900</v>
      </c>
      <c r="HO25">
        <v>157600</v>
      </c>
      <c r="HP25">
        <v>158300</v>
      </c>
      <c r="HQ25">
        <v>159100</v>
      </c>
      <c r="HR25">
        <v>159700</v>
      </c>
      <c r="HS25">
        <v>160700</v>
      </c>
      <c r="HT25">
        <v>161800</v>
      </c>
    </row>
    <row r="26" spans="1:228" x14ac:dyDescent="0.3">
      <c r="A26">
        <v>25</v>
      </c>
      <c r="B26" t="s">
        <v>252</v>
      </c>
      <c r="C26">
        <v>25</v>
      </c>
      <c r="D26">
        <v>91300</v>
      </c>
      <c r="E26">
        <v>91700</v>
      </c>
      <c r="F26">
        <v>91900</v>
      </c>
      <c r="G26">
        <v>92200</v>
      </c>
      <c r="H26">
        <v>92300</v>
      </c>
      <c r="I26">
        <v>92400</v>
      </c>
      <c r="J26">
        <v>92600</v>
      </c>
      <c r="K26">
        <v>92700</v>
      </c>
      <c r="L26">
        <v>92900</v>
      </c>
      <c r="M26">
        <v>93200</v>
      </c>
      <c r="N26">
        <v>93500</v>
      </c>
      <c r="O26">
        <v>93900</v>
      </c>
      <c r="P26">
        <v>94300</v>
      </c>
      <c r="Q26">
        <v>94700</v>
      </c>
      <c r="R26">
        <v>95000</v>
      </c>
      <c r="S26">
        <v>95100</v>
      </c>
      <c r="T26">
        <v>94800</v>
      </c>
      <c r="U26">
        <v>94200</v>
      </c>
      <c r="V26">
        <v>93200</v>
      </c>
      <c r="W26">
        <v>92000</v>
      </c>
      <c r="X26">
        <v>90900</v>
      </c>
      <c r="Y26">
        <v>90000</v>
      </c>
      <c r="Z26">
        <v>89400</v>
      </c>
      <c r="AA26">
        <v>89100</v>
      </c>
      <c r="AB26">
        <v>89100</v>
      </c>
      <c r="AC26">
        <v>89300</v>
      </c>
      <c r="AD26">
        <v>89600</v>
      </c>
      <c r="AE26">
        <v>89900</v>
      </c>
      <c r="AF26">
        <v>90200</v>
      </c>
      <c r="AG26">
        <v>90400</v>
      </c>
      <c r="AH26">
        <v>90700</v>
      </c>
      <c r="AI26">
        <v>91000</v>
      </c>
      <c r="AJ26">
        <v>91200</v>
      </c>
      <c r="AK26">
        <v>91400</v>
      </c>
      <c r="AL26">
        <v>91600</v>
      </c>
      <c r="AM26">
        <v>91800</v>
      </c>
      <c r="AN26">
        <v>92100</v>
      </c>
      <c r="AO26">
        <v>92200</v>
      </c>
      <c r="AP26">
        <v>92500</v>
      </c>
      <c r="AQ26">
        <v>92800</v>
      </c>
      <c r="AR26">
        <v>93200</v>
      </c>
      <c r="AS26">
        <v>93900</v>
      </c>
      <c r="AT26">
        <v>94700</v>
      </c>
      <c r="AU26">
        <v>95600</v>
      </c>
      <c r="AV26">
        <v>96400</v>
      </c>
      <c r="AW26">
        <v>97300</v>
      </c>
      <c r="AX26">
        <v>98100</v>
      </c>
      <c r="AY26">
        <v>98800</v>
      </c>
      <c r="AZ26">
        <v>99300</v>
      </c>
      <c r="BA26">
        <v>99800</v>
      </c>
      <c r="BB26">
        <v>100300</v>
      </c>
      <c r="BC26">
        <v>100700</v>
      </c>
      <c r="BD26">
        <v>101200</v>
      </c>
      <c r="BE26">
        <v>101800</v>
      </c>
      <c r="BF26">
        <v>102400</v>
      </c>
      <c r="BG26">
        <v>103100</v>
      </c>
      <c r="BH26">
        <v>103600</v>
      </c>
      <c r="BI26">
        <v>104100</v>
      </c>
      <c r="BJ26">
        <v>104300</v>
      </c>
      <c r="BK26">
        <v>104200</v>
      </c>
      <c r="BL26">
        <v>103800</v>
      </c>
      <c r="BM26">
        <v>103500</v>
      </c>
      <c r="BN26">
        <v>103400</v>
      </c>
      <c r="BO26">
        <v>103700</v>
      </c>
      <c r="BP26">
        <v>104100</v>
      </c>
      <c r="BQ26">
        <v>104800</v>
      </c>
      <c r="BR26">
        <v>105700</v>
      </c>
      <c r="BS26">
        <v>106800</v>
      </c>
      <c r="BT26">
        <v>108000</v>
      </c>
      <c r="BU26">
        <v>109100</v>
      </c>
      <c r="BV26">
        <v>110300</v>
      </c>
      <c r="BW26">
        <v>111600</v>
      </c>
      <c r="BX26">
        <v>112800</v>
      </c>
      <c r="BY26">
        <v>113900</v>
      </c>
      <c r="BZ26">
        <v>114800</v>
      </c>
      <c r="CA26">
        <v>115600</v>
      </c>
      <c r="CB26">
        <v>116200</v>
      </c>
      <c r="CC26">
        <v>116600</v>
      </c>
      <c r="CD26">
        <v>116900</v>
      </c>
      <c r="CE26">
        <v>117100</v>
      </c>
      <c r="CF26">
        <v>117500</v>
      </c>
      <c r="CG26">
        <v>117900</v>
      </c>
      <c r="CH26">
        <v>118400</v>
      </c>
      <c r="CI26">
        <v>118900</v>
      </c>
      <c r="CJ26">
        <v>119500</v>
      </c>
      <c r="CK26">
        <v>120100</v>
      </c>
      <c r="CL26">
        <v>120700</v>
      </c>
      <c r="CM26">
        <v>121300</v>
      </c>
      <c r="CN26">
        <v>121900</v>
      </c>
      <c r="CO26">
        <v>122400</v>
      </c>
      <c r="CP26">
        <v>122800</v>
      </c>
      <c r="CQ26">
        <v>123100</v>
      </c>
      <c r="CR26">
        <v>123300</v>
      </c>
      <c r="CS26">
        <v>123500</v>
      </c>
      <c r="CT26">
        <v>123600</v>
      </c>
      <c r="CU26">
        <v>123800</v>
      </c>
      <c r="CV26">
        <v>124000</v>
      </c>
      <c r="CW26">
        <v>124200</v>
      </c>
      <c r="CX26">
        <v>124300</v>
      </c>
      <c r="CY26">
        <v>124400</v>
      </c>
      <c r="CZ26">
        <v>124300</v>
      </c>
      <c r="DA26">
        <v>124200</v>
      </c>
      <c r="DB26">
        <v>124100</v>
      </c>
      <c r="DC26">
        <v>124200</v>
      </c>
      <c r="DD26">
        <v>124300</v>
      </c>
      <c r="DE26">
        <v>124400</v>
      </c>
      <c r="DF26">
        <v>124600</v>
      </c>
      <c r="DG26">
        <v>124700</v>
      </c>
      <c r="DH26">
        <v>125000</v>
      </c>
      <c r="DI26">
        <v>125200</v>
      </c>
      <c r="DJ26">
        <v>125500</v>
      </c>
      <c r="DK26">
        <v>125700</v>
      </c>
      <c r="DL26">
        <v>125900</v>
      </c>
      <c r="DM26">
        <v>125900</v>
      </c>
      <c r="DN26">
        <v>126000</v>
      </c>
      <c r="DO26">
        <v>126000</v>
      </c>
      <c r="DP26">
        <v>125800</v>
      </c>
      <c r="DQ26">
        <v>125600</v>
      </c>
      <c r="DR26">
        <v>125500</v>
      </c>
      <c r="DS26">
        <v>125400</v>
      </c>
      <c r="DT26">
        <v>125400</v>
      </c>
      <c r="DU26">
        <v>125400</v>
      </c>
      <c r="DV26">
        <v>125400</v>
      </c>
      <c r="DW26">
        <v>125200</v>
      </c>
      <c r="DX26">
        <v>125000</v>
      </c>
      <c r="DY26">
        <v>125100</v>
      </c>
      <c r="DZ26">
        <v>125200</v>
      </c>
      <c r="EA26">
        <v>125000</v>
      </c>
      <c r="EB26">
        <v>124800</v>
      </c>
      <c r="EC26">
        <v>124700</v>
      </c>
      <c r="ED26">
        <v>124400</v>
      </c>
      <c r="EE26">
        <v>123900</v>
      </c>
      <c r="EF26">
        <v>123500</v>
      </c>
      <c r="EG26">
        <v>123100</v>
      </c>
      <c r="EH26">
        <v>122500</v>
      </c>
      <c r="EI26">
        <v>121700</v>
      </c>
      <c r="EJ26">
        <v>121200</v>
      </c>
      <c r="EK26">
        <v>120800</v>
      </c>
      <c r="EL26">
        <v>120400</v>
      </c>
      <c r="EM26">
        <v>120000</v>
      </c>
      <c r="EN26">
        <v>119700</v>
      </c>
      <c r="EO26">
        <v>119300</v>
      </c>
      <c r="EP26">
        <v>119000</v>
      </c>
      <c r="EQ26">
        <v>118800</v>
      </c>
      <c r="ER26">
        <v>118500</v>
      </c>
      <c r="ES26">
        <v>118200</v>
      </c>
      <c r="ET26">
        <v>118100</v>
      </c>
      <c r="EU26">
        <v>118100</v>
      </c>
      <c r="EV26">
        <v>118200</v>
      </c>
      <c r="EW26">
        <v>118300</v>
      </c>
      <c r="EX26">
        <v>118300</v>
      </c>
      <c r="EY26">
        <v>118500</v>
      </c>
      <c r="EZ26">
        <v>118700</v>
      </c>
      <c r="FA26">
        <v>118800</v>
      </c>
      <c r="FB26">
        <v>118800</v>
      </c>
      <c r="FC26">
        <v>119000</v>
      </c>
      <c r="FD26">
        <v>119400</v>
      </c>
      <c r="FE26">
        <v>119800</v>
      </c>
      <c r="FF26">
        <v>120000</v>
      </c>
      <c r="FG26">
        <v>120300</v>
      </c>
      <c r="FH26">
        <v>120600</v>
      </c>
      <c r="FI26">
        <v>120800</v>
      </c>
      <c r="FJ26">
        <v>120800</v>
      </c>
      <c r="FK26">
        <v>120900</v>
      </c>
      <c r="FL26">
        <v>121100</v>
      </c>
      <c r="FM26">
        <v>121400</v>
      </c>
      <c r="FN26">
        <v>121700</v>
      </c>
      <c r="FO26">
        <v>122000</v>
      </c>
      <c r="FP26">
        <v>122100</v>
      </c>
      <c r="FQ26">
        <v>122200</v>
      </c>
      <c r="FR26">
        <v>122300</v>
      </c>
      <c r="FS26">
        <v>122600</v>
      </c>
      <c r="FT26">
        <v>123100</v>
      </c>
      <c r="FU26">
        <v>123200</v>
      </c>
      <c r="FV26">
        <v>123600</v>
      </c>
      <c r="FW26">
        <v>124000</v>
      </c>
      <c r="FX26">
        <v>124400</v>
      </c>
      <c r="FY26">
        <v>124600</v>
      </c>
      <c r="FZ26">
        <v>125000</v>
      </c>
      <c r="GA26">
        <v>125300</v>
      </c>
      <c r="GB26">
        <v>125700</v>
      </c>
      <c r="GC26">
        <v>126100</v>
      </c>
      <c r="GD26">
        <v>126200</v>
      </c>
      <c r="GE26">
        <v>126200</v>
      </c>
      <c r="GF26">
        <v>126500</v>
      </c>
      <c r="GG26">
        <v>126900</v>
      </c>
      <c r="GH26">
        <v>127200</v>
      </c>
      <c r="GI26">
        <v>127400</v>
      </c>
      <c r="GJ26">
        <v>127700</v>
      </c>
      <c r="GK26">
        <v>128200</v>
      </c>
      <c r="GL26">
        <v>128900</v>
      </c>
      <c r="GM26">
        <v>129300</v>
      </c>
      <c r="GN26">
        <v>129700</v>
      </c>
      <c r="GO26">
        <v>130300</v>
      </c>
      <c r="GP26">
        <v>131300</v>
      </c>
      <c r="GQ26">
        <v>132100</v>
      </c>
      <c r="GR26">
        <v>132600</v>
      </c>
      <c r="GS26">
        <v>133300</v>
      </c>
      <c r="GT26">
        <v>134200</v>
      </c>
      <c r="GU26">
        <v>134900</v>
      </c>
      <c r="GV26">
        <v>135600</v>
      </c>
      <c r="GW26">
        <v>136200</v>
      </c>
      <c r="GX26">
        <v>136800</v>
      </c>
      <c r="GY26">
        <v>137500</v>
      </c>
      <c r="GZ26">
        <v>138000</v>
      </c>
      <c r="HA26">
        <v>138500</v>
      </c>
      <c r="HB26">
        <v>139100</v>
      </c>
      <c r="HC26">
        <v>139700</v>
      </c>
      <c r="HD26">
        <v>140000</v>
      </c>
      <c r="HE26">
        <v>140200</v>
      </c>
      <c r="HF26">
        <v>140400</v>
      </c>
      <c r="HG26">
        <v>140700</v>
      </c>
      <c r="HH26">
        <v>141200</v>
      </c>
      <c r="HI26">
        <v>141600</v>
      </c>
      <c r="HJ26">
        <v>142000</v>
      </c>
      <c r="HK26">
        <v>142300</v>
      </c>
      <c r="HL26">
        <v>142600</v>
      </c>
      <c r="HM26">
        <v>142900</v>
      </c>
      <c r="HN26">
        <v>143300</v>
      </c>
      <c r="HO26">
        <v>144200</v>
      </c>
      <c r="HP26">
        <v>144900</v>
      </c>
      <c r="HQ26">
        <v>145400</v>
      </c>
      <c r="HR26">
        <v>145600</v>
      </c>
      <c r="HS26">
        <v>145900</v>
      </c>
      <c r="HT26">
        <v>146100</v>
      </c>
    </row>
    <row r="27" spans="1:228" x14ac:dyDescent="0.3">
      <c r="A27">
        <v>24</v>
      </c>
      <c r="B27" t="s">
        <v>253</v>
      </c>
      <c r="C27">
        <v>26</v>
      </c>
      <c r="D27">
        <v>85300</v>
      </c>
      <c r="E27">
        <v>85600</v>
      </c>
      <c r="F27">
        <v>85900</v>
      </c>
      <c r="G27">
        <v>86300</v>
      </c>
      <c r="H27">
        <v>86600</v>
      </c>
      <c r="I27">
        <v>87000</v>
      </c>
      <c r="J27">
        <v>87300</v>
      </c>
      <c r="K27">
        <v>87700</v>
      </c>
      <c r="L27">
        <v>88000</v>
      </c>
      <c r="M27">
        <v>88400</v>
      </c>
      <c r="N27">
        <v>88800</v>
      </c>
      <c r="O27">
        <v>89300</v>
      </c>
      <c r="P27">
        <v>89900</v>
      </c>
      <c r="Q27">
        <v>90400</v>
      </c>
      <c r="R27">
        <v>90900</v>
      </c>
      <c r="S27">
        <v>91400</v>
      </c>
      <c r="T27">
        <v>91900</v>
      </c>
      <c r="U27">
        <v>92400</v>
      </c>
      <c r="V27">
        <v>92800</v>
      </c>
      <c r="W27">
        <v>93100</v>
      </c>
      <c r="X27">
        <v>93300</v>
      </c>
      <c r="Y27">
        <v>93600</v>
      </c>
      <c r="Z27">
        <v>93900</v>
      </c>
      <c r="AA27">
        <v>94300</v>
      </c>
      <c r="AB27">
        <v>94800</v>
      </c>
      <c r="AC27">
        <v>95400</v>
      </c>
      <c r="AD27">
        <v>95900</v>
      </c>
      <c r="AE27">
        <v>96500</v>
      </c>
      <c r="AF27">
        <v>96900</v>
      </c>
      <c r="AG27">
        <v>97200</v>
      </c>
      <c r="AH27">
        <v>97500</v>
      </c>
      <c r="AI27">
        <v>97800</v>
      </c>
      <c r="AJ27">
        <v>98100</v>
      </c>
      <c r="AK27">
        <v>98400</v>
      </c>
      <c r="AL27">
        <v>98900</v>
      </c>
      <c r="AM27">
        <v>99500</v>
      </c>
      <c r="AN27">
        <v>100000</v>
      </c>
      <c r="AO27">
        <v>100600</v>
      </c>
      <c r="AP27">
        <v>101200</v>
      </c>
      <c r="AQ27">
        <v>101600</v>
      </c>
      <c r="AR27">
        <v>102000</v>
      </c>
      <c r="AS27">
        <v>102400</v>
      </c>
      <c r="AT27">
        <v>102700</v>
      </c>
      <c r="AU27">
        <v>103000</v>
      </c>
      <c r="AV27">
        <v>103300</v>
      </c>
      <c r="AW27">
        <v>103600</v>
      </c>
      <c r="AX27">
        <v>103900</v>
      </c>
      <c r="AY27">
        <v>104300</v>
      </c>
      <c r="AZ27">
        <v>104600</v>
      </c>
      <c r="BA27">
        <v>105000</v>
      </c>
      <c r="BB27">
        <v>105400</v>
      </c>
      <c r="BC27">
        <v>105700</v>
      </c>
      <c r="BD27">
        <v>106100</v>
      </c>
      <c r="BE27">
        <v>106600</v>
      </c>
      <c r="BF27">
        <v>107000</v>
      </c>
      <c r="BG27">
        <v>107500</v>
      </c>
      <c r="BH27">
        <v>107900</v>
      </c>
      <c r="BI27">
        <v>108400</v>
      </c>
      <c r="BJ27">
        <v>108900</v>
      </c>
      <c r="BK27">
        <v>109300</v>
      </c>
      <c r="BL27">
        <v>109500</v>
      </c>
      <c r="BM27">
        <v>109600</v>
      </c>
      <c r="BN27">
        <v>109300</v>
      </c>
      <c r="BO27">
        <v>109100</v>
      </c>
      <c r="BP27">
        <v>109100</v>
      </c>
      <c r="BQ27">
        <v>109200</v>
      </c>
      <c r="BR27">
        <v>109400</v>
      </c>
      <c r="BS27">
        <v>109700</v>
      </c>
      <c r="BT27">
        <v>110000</v>
      </c>
      <c r="BU27">
        <v>110300</v>
      </c>
      <c r="BV27">
        <v>110700</v>
      </c>
      <c r="BW27">
        <v>111100</v>
      </c>
      <c r="BX27">
        <v>111500</v>
      </c>
      <c r="BY27">
        <v>112000</v>
      </c>
      <c r="BZ27">
        <v>112400</v>
      </c>
      <c r="CA27">
        <v>112800</v>
      </c>
      <c r="CB27">
        <v>113400</v>
      </c>
      <c r="CC27">
        <v>114100</v>
      </c>
      <c r="CD27">
        <v>114900</v>
      </c>
      <c r="CE27">
        <v>115900</v>
      </c>
      <c r="CF27">
        <v>116700</v>
      </c>
      <c r="CG27">
        <v>117100</v>
      </c>
      <c r="CH27">
        <v>117100</v>
      </c>
      <c r="CI27">
        <v>116700</v>
      </c>
      <c r="CJ27">
        <v>116400</v>
      </c>
      <c r="CK27">
        <v>116200</v>
      </c>
      <c r="CL27">
        <v>116000</v>
      </c>
      <c r="CM27">
        <v>115900</v>
      </c>
      <c r="CN27">
        <v>115900</v>
      </c>
      <c r="CO27">
        <v>115900</v>
      </c>
      <c r="CP27">
        <v>115900</v>
      </c>
      <c r="CQ27">
        <v>115700</v>
      </c>
      <c r="CR27">
        <v>115600</v>
      </c>
      <c r="CS27">
        <v>115600</v>
      </c>
      <c r="CT27">
        <v>115600</v>
      </c>
      <c r="CU27">
        <v>115600</v>
      </c>
      <c r="CV27">
        <v>115600</v>
      </c>
      <c r="CW27">
        <v>115700</v>
      </c>
      <c r="CX27">
        <v>115700</v>
      </c>
      <c r="CY27">
        <v>115700</v>
      </c>
      <c r="CZ27">
        <v>115500</v>
      </c>
      <c r="DA27">
        <v>115300</v>
      </c>
      <c r="DB27">
        <v>114900</v>
      </c>
      <c r="DC27">
        <v>114600</v>
      </c>
      <c r="DD27">
        <v>114300</v>
      </c>
      <c r="DE27">
        <v>114100</v>
      </c>
      <c r="DF27">
        <v>114000</v>
      </c>
      <c r="DG27">
        <v>114000</v>
      </c>
      <c r="DH27">
        <v>114000</v>
      </c>
      <c r="DI27">
        <v>114100</v>
      </c>
      <c r="DJ27">
        <v>114100</v>
      </c>
      <c r="DK27">
        <v>114000</v>
      </c>
      <c r="DL27">
        <v>113900</v>
      </c>
      <c r="DM27">
        <v>113800</v>
      </c>
      <c r="DN27">
        <v>113500</v>
      </c>
      <c r="DO27">
        <v>113200</v>
      </c>
      <c r="DP27">
        <v>113000</v>
      </c>
      <c r="DQ27">
        <v>112900</v>
      </c>
      <c r="DR27">
        <v>112900</v>
      </c>
      <c r="DS27">
        <v>112900</v>
      </c>
      <c r="DT27">
        <v>113000</v>
      </c>
      <c r="DU27">
        <v>113000</v>
      </c>
      <c r="DV27">
        <v>113600</v>
      </c>
      <c r="DW27">
        <v>114600</v>
      </c>
      <c r="DX27">
        <v>115000</v>
      </c>
      <c r="DY27">
        <v>115000</v>
      </c>
      <c r="DZ27">
        <v>115200</v>
      </c>
      <c r="EA27">
        <v>115200</v>
      </c>
      <c r="EB27">
        <v>115100</v>
      </c>
      <c r="EC27">
        <v>114900</v>
      </c>
      <c r="ED27">
        <v>114700</v>
      </c>
      <c r="EE27">
        <v>114600</v>
      </c>
      <c r="EF27">
        <v>114500</v>
      </c>
      <c r="EG27">
        <v>114300</v>
      </c>
      <c r="EH27">
        <v>113700</v>
      </c>
      <c r="EI27">
        <v>112900</v>
      </c>
      <c r="EJ27">
        <v>112300</v>
      </c>
      <c r="EK27">
        <v>111900</v>
      </c>
      <c r="EL27">
        <v>111600</v>
      </c>
      <c r="EM27">
        <v>111400</v>
      </c>
      <c r="EN27">
        <v>111300</v>
      </c>
      <c r="EO27">
        <v>111200</v>
      </c>
      <c r="EP27">
        <v>111000</v>
      </c>
      <c r="EQ27">
        <v>110700</v>
      </c>
      <c r="ER27">
        <v>110600</v>
      </c>
      <c r="ES27">
        <v>110500</v>
      </c>
      <c r="ET27">
        <v>110300</v>
      </c>
      <c r="EU27">
        <v>110100</v>
      </c>
      <c r="EV27">
        <v>110100</v>
      </c>
      <c r="EW27">
        <v>110300</v>
      </c>
      <c r="EX27">
        <v>110200</v>
      </c>
      <c r="EY27">
        <v>110300</v>
      </c>
      <c r="EZ27">
        <v>110300</v>
      </c>
      <c r="FA27">
        <v>110400</v>
      </c>
      <c r="FB27">
        <v>110800</v>
      </c>
      <c r="FC27">
        <v>111100</v>
      </c>
      <c r="FD27">
        <v>111100</v>
      </c>
      <c r="FE27">
        <v>111200</v>
      </c>
      <c r="FF27">
        <v>111300</v>
      </c>
      <c r="FG27">
        <v>111300</v>
      </c>
      <c r="FH27">
        <v>111400</v>
      </c>
      <c r="FI27">
        <v>111700</v>
      </c>
      <c r="FJ27">
        <v>112000</v>
      </c>
      <c r="FK27">
        <v>112100</v>
      </c>
      <c r="FL27">
        <v>112200</v>
      </c>
      <c r="FM27">
        <v>112300</v>
      </c>
      <c r="FN27">
        <v>112400</v>
      </c>
      <c r="FO27">
        <v>112500</v>
      </c>
      <c r="FP27">
        <v>112600</v>
      </c>
      <c r="FQ27">
        <v>112900</v>
      </c>
      <c r="FR27">
        <v>113100</v>
      </c>
      <c r="FS27">
        <v>113300</v>
      </c>
      <c r="FT27">
        <v>113500</v>
      </c>
      <c r="FU27">
        <v>113600</v>
      </c>
      <c r="FV27">
        <v>113800</v>
      </c>
      <c r="FW27">
        <v>114100</v>
      </c>
      <c r="FX27">
        <v>114400</v>
      </c>
      <c r="FY27">
        <v>114500</v>
      </c>
      <c r="FZ27">
        <v>114600</v>
      </c>
      <c r="GA27">
        <v>114800</v>
      </c>
      <c r="GB27">
        <v>115100</v>
      </c>
      <c r="GC27">
        <v>115400</v>
      </c>
      <c r="GD27">
        <v>115800</v>
      </c>
      <c r="GE27">
        <v>116300</v>
      </c>
      <c r="GF27">
        <v>116700</v>
      </c>
      <c r="GG27">
        <v>117100</v>
      </c>
      <c r="GH27">
        <v>117400</v>
      </c>
      <c r="GI27">
        <v>117600</v>
      </c>
      <c r="GJ27">
        <v>118100</v>
      </c>
      <c r="GK27">
        <v>118700</v>
      </c>
      <c r="GL27">
        <v>119400</v>
      </c>
      <c r="GM27">
        <v>119900</v>
      </c>
      <c r="GN27">
        <v>120300</v>
      </c>
      <c r="GO27">
        <v>120800</v>
      </c>
      <c r="GP27">
        <v>121400</v>
      </c>
      <c r="GQ27">
        <v>121900</v>
      </c>
      <c r="GR27">
        <v>122300</v>
      </c>
      <c r="GS27">
        <v>122900</v>
      </c>
      <c r="GT27">
        <v>123400</v>
      </c>
      <c r="GU27">
        <v>124000</v>
      </c>
      <c r="GV27">
        <v>124700</v>
      </c>
      <c r="GW27">
        <v>125400</v>
      </c>
      <c r="GX27">
        <v>126100</v>
      </c>
      <c r="GY27">
        <v>126700</v>
      </c>
      <c r="GZ27">
        <v>127500</v>
      </c>
      <c r="HA27">
        <v>128400</v>
      </c>
      <c r="HB27">
        <v>129100</v>
      </c>
      <c r="HC27">
        <v>129600</v>
      </c>
      <c r="HD27">
        <v>130500</v>
      </c>
      <c r="HE27">
        <v>131400</v>
      </c>
      <c r="HF27">
        <v>132200</v>
      </c>
      <c r="HG27">
        <v>132800</v>
      </c>
      <c r="HH27">
        <v>133300</v>
      </c>
      <c r="HI27">
        <v>133800</v>
      </c>
      <c r="HJ27">
        <v>134400</v>
      </c>
      <c r="HK27">
        <v>135000</v>
      </c>
      <c r="HL27">
        <v>135800</v>
      </c>
      <c r="HM27">
        <v>136300</v>
      </c>
      <c r="HN27">
        <v>136900</v>
      </c>
      <c r="HO27">
        <v>137800</v>
      </c>
      <c r="HP27">
        <v>138600</v>
      </c>
      <c r="HQ27">
        <v>139100</v>
      </c>
      <c r="HR27">
        <v>139800</v>
      </c>
      <c r="HS27">
        <v>140800</v>
      </c>
      <c r="HT27">
        <v>141600</v>
      </c>
    </row>
    <row r="28" spans="1:228" x14ac:dyDescent="0.3">
      <c r="A28">
        <v>46</v>
      </c>
      <c r="B28" t="s">
        <v>254</v>
      </c>
      <c r="C28">
        <v>27</v>
      </c>
      <c r="D28">
        <v>141300</v>
      </c>
      <c r="E28">
        <v>141900</v>
      </c>
      <c r="F28">
        <v>142400</v>
      </c>
      <c r="G28">
        <v>142800</v>
      </c>
      <c r="H28">
        <v>143200</v>
      </c>
      <c r="I28">
        <v>143600</v>
      </c>
      <c r="J28">
        <v>143900</v>
      </c>
      <c r="K28">
        <v>144300</v>
      </c>
      <c r="L28">
        <v>144800</v>
      </c>
      <c r="M28">
        <v>145300</v>
      </c>
      <c r="N28">
        <v>145900</v>
      </c>
      <c r="O28">
        <v>146700</v>
      </c>
      <c r="P28">
        <v>147600</v>
      </c>
      <c r="Q28">
        <v>148400</v>
      </c>
      <c r="R28">
        <v>149200</v>
      </c>
      <c r="S28">
        <v>149800</v>
      </c>
      <c r="T28">
        <v>150300</v>
      </c>
      <c r="U28">
        <v>150700</v>
      </c>
      <c r="V28">
        <v>151100</v>
      </c>
      <c r="W28">
        <v>151400</v>
      </c>
      <c r="X28">
        <v>151800</v>
      </c>
      <c r="Y28">
        <v>152300</v>
      </c>
      <c r="Z28">
        <v>152700</v>
      </c>
      <c r="AA28">
        <v>153300</v>
      </c>
      <c r="AB28">
        <v>154100</v>
      </c>
      <c r="AC28">
        <v>154900</v>
      </c>
      <c r="AD28">
        <v>155700</v>
      </c>
      <c r="AE28">
        <v>156300</v>
      </c>
      <c r="AF28">
        <v>156900</v>
      </c>
      <c r="AG28">
        <v>157400</v>
      </c>
      <c r="AH28">
        <v>157800</v>
      </c>
      <c r="AI28">
        <v>158300</v>
      </c>
      <c r="AJ28">
        <v>158900</v>
      </c>
      <c r="AK28">
        <v>159500</v>
      </c>
      <c r="AL28">
        <v>160200</v>
      </c>
      <c r="AM28">
        <v>161000</v>
      </c>
      <c r="AN28">
        <v>161800</v>
      </c>
      <c r="AO28">
        <v>162600</v>
      </c>
      <c r="AP28">
        <v>163400</v>
      </c>
      <c r="AQ28">
        <v>164200</v>
      </c>
      <c r="AR28">
        <v>165000</v>
      </c>
      <c r="AS28">
        <v>165900</v>
      </c>
      <c r="AT28">
        <v>166800</v>
      </c>
      <c r="AU28">
        <v>167800</v>
      </c>
      <c r="AV28">
        <v>168800</v>
      </c>
      <c r="AW28">
        <v>169800</v>
      </c>
      <c r="AX28">
        <v>170600</v>
      </c>
      <c r="AY28">
        <v>171500</v>
      </c>
      <c r="AZ28">
        <v>172400</v>
      </c>
      <c r="BA28">
        <v>173400</v>
      </c>
      <c r="BB28">
        <v>174600</v>
      </c>
      <c r="BC28">
        <v>176100</v>
      </c>
      <c r="BD28">
        <v>177800</v>
      </c>
      <c r="BE28">
        <v>179600</v>
      </c>
      <c r="BF28">
        <v>181700</v>
      </c>
      <c r="BG28">
        <v>183900</v>
      </c>
      <c r="BH28">
        <v>186200</v>
      </c>
      <c r="BI28">
        <v>188500</v>
      </c>
      <c r="BJ28">
        <v>190800</v>
      </c>
      <c r="BK28">
        <v>193000</v>
      </c>
      <c r="BL28">
        <v>195300</v>
      </c>
      <c r="BM28">
        <v>197800</v>
      </c>
      <c r="BN28">
        <v>200700</v>
      </c>
      <c r="BO28">
        <v>203800</v>
      </c>
      <c r="BP28">
        <v>207100</v>
      </c>
      <c r="BQ28">
        <v>210600</v>
      </c>
      <c r="BR28">
        <v>214500</v>
      </c>
      <c r="BS28">
        <v>218900</v>
      </c>
      <c r="BT28">
        <v>223800</v>
      </c>
      <c r="BU28">
        <v>229100</v>
      </c>
      <c r="BV28">
        <v>234900</v>
      </c>
      <c r="BW28">
        <v>240300</v>
      </c>
      <c r="BX28">
        <v>244700</v>
      </c>
      <c r="BY28">
        <v>247700</v>
      </c>
      <c r="BZ28">
        <v>250300</v>
      </c>
      <c r="CA28">
        <v>253300</v>
      </c>
      <c r="CB28">
        <v>256900</v>
      </c>
      <c r="CC28">
        <v>260700</v>
      </c>
      <c r="CD28">
        <v>263600</v>
      </c>
      <c r="CE28">
        <v>265200</v>
      </c>
      <c r="CF28">
        <v>265700</v>
      </c>
      <c r="CG28">
        <v>265500</v>
      </c>
      <c r="CH28">
        <v>265000</v>
      </c>
      <c r="CI28">
        <v>264600</v>
      </c>
      <c r="CJ28">
        <v>264600</v>
      </c>
      <c r="CK28">
        <v>264900</v>
      </c>
      <c r="CL28">
        <v>265400</v>
      </c>
      <c r="CM28">
        <v>266000</v>
      </c>
      <c r="CN28">
        <v>266200</v>
      </c>
      <c r="CO28">
        <v>266000</v>
      </c>
      <c r="CP28">
        <v>265700</v>
      </c>
      <c r="CQ28">
        <v>265200</v>
      </c>
      <c r="CR28">
        <v>264400</v>
      </c>
      <c r="CS28">
        <v>263400</v>
      </c>
      <c r="CT28">
        <v>262100</v>
      </c>
      <c r="CU28">
        <v>260700</v>
      </c>
      <c r="CV28">
        <v>259400</v>
      </c>
      <c r="CW28">
        <v>258200</v>
      </c>
      <c r="CX28">
        <v>257200</v>
      </c>
      <c r="CY28">
        <v>256100</v>
      </c>
      <c r="CZ28">
        <v>254500</v>
      </c>
      <c r="DA28">
        <v>252400</v>
      </c>
      <c r="DB28">
        <v>250100</v>
      </c>
      <c r="DC28">
        <v>247600</v>
      </c>
      <c r="DD28">
        <v>245200</v>
      </c>
      <c r="DE28">
        <v>243100</v>
      </c>
      <c r="DF28">
        <v>241000</v>
      </c>
      <c r="DG28">
        <v>239200</v>
      </c>
      <c r="DH28">
        <v>237600</v>
      </c>
      <c r="DI28">
        <v>235900</v>
      </c>
      <c r="DJ28">
        <v>234200</v>
      </c>
      <c r="DK28">
        <v>232200</v>
      </c>
      <c r="DL28">
        <v>229800</v>
      </c>
      <c r="DM28">
        <v>227300</v>
      </c>
      <c r="DN28">
        <v>225400</v>
      </c>
      <c r="DO28">
        <v>224200</v>
      </c>
      <c r="DP28">
        <v>223400</v>
      </c>
      <c r="DQ28">
        <v>222800</v>
      </c>
      <c r="DR28">
        <v>222400</v>
      </c>
      <c r="DS28">
        <v>222400</v>
      </c>
      <c r="DT28">
        <v>222500</v>
      </c>
      <c r="DU28">
        <v>222900</v>
      </c>
      <c r="DV28">
        <v>221900</v>
      </c>
      <c r="DW28">
        <v>219600</v>
      </c>
      <c r="DX28">
        <v>217700</v>
      </c>
      <c r="DY28">
        <v>216300</v>
      </c>
      <c r="DZ28">
        <v>214200</v>
      </c>
      <c r="EA28">
        <v>212200</v>
      </c>
      <c r="EB28">
        <v>210300</v>
      </c>
      <c r="EC28">
        <v>208300</v>
      </c>
      <c r="ED28">
        <v>206500</v>
      </c>
      <c r="EE28">
        <v>204700</v>
      </c>
      <c r="EF28">
        <v>202400</v>
      </c>
      <c r="EG28">
        <v>200300</v>
      </c>
      <c r="EH28">
        <v>198400</v>
      </c>
      <c r="EI28">
        <v>196800</v>
      </c>
      <c r="EJ28">
        <v>195500</v>
      </c>
      <c r="EK28">
        <v>194500</v>
      </c>
      <c r="EL28">
        <v>194000</v>
      </c>
      <c r="EM28">
        <v>193400</v>
      </c>
      <c r="EN28">
        <v>193000</v>
      </c>
      <c r="EO28">
        <v>192700</v>
      </c>
      <c r="EP28">
        <v>192100</v>
      </c>
      <c r="EQ28">
        <v>191600</v>
      </c>
      <c r="ER28">
        <v>191200</v>
      </c>
      <c r="ES28">
        <v>191100</v>
      </c>
      <c r="ET28">
        <v>191200</v>
      </c>
      <c r="EU28">
        <v>191700</v>
      </c>
      <c r="EV28">
        <v>192400</v>
      </c>
      <c r="EW28">
        <v>193300</v>
      </c>
      <c r="EX28">
        <v>194100</v>
      </c>
      <c r="EY28">
        <v>195100</v>
      </c>
      <c r="EZ28">
        <v>196300</v>
      </c>
      <c r="FA28">
        <v>197600</v>
      </c>
      <c r="FB28">
        <v>198600</v>
      </c>
      <c r="FC28">
        <v>199500</v>
      </c>
      <c r="FD28">
        <v>200600</v>
      </c>
      <c r="FE28">
        <v>202000</v>
      </c>
      <c r="FF28">
        <v>204100</v>
      </c>
      <c r="FG28">
        <v>206500</v>
      </c>
      <c r="FH28">
        <v>208600</v>
      </c>
      <c r="FI28">
        <v>210600</v>
      </c>
      <c r="FJ28">
        <v>212800</v>
      </c>
      <c r="FK28">
        <v>215000</v>
      </c>
      <c r="FL28">
        <v>216600</v>
      </c>
      <c r="FM28">
        <v>218100</v>
      </c>
      <c r="FN28">
        <v>219800</v>
      </c>
      <c r="FO28">
        <v>221500</v>
      </c>
      <c r="FP28">
        <v>223100</v>
      </c>
      <c r="FQ28">
        <v>224500</v>
      </c>
      <c r="FR28">
        <v>226000</v>
      </c>
      <c r="FS28">
        <v>227700</v>
      </c>
      <c r="FT28">
        <v>228900</v>
      </c>
      <c r="FU28">
        <v>230000</v>
      </c>
      <c r="FV28">
        <v>231100</v>
      </c>
      <c r="FW28">
        <v>232400</v>
      </c>
      <c r="FX28">
        <v>233800</v>
      </c>
      <c r="FY28">
        <v>235400</v>
      </c>
      <c r="FZ28">
        <v>236900</v>
      </c>
      <c r="GA28">
        <v>238100</v>
      </c>
      <c r="GB28">
        <v>239600</v>
      </c>
      <c r="GC28">
        <v>241400</v>
      </c>
      <c r="GD28">
        <v>243500</v>
      </c>
      <c r="GE28">
        <v>245500</v>
      </c>
      <c r="GF28">
        <v>247600</v>
      </c>
      <c r="GG28">
        <v>249900</v>
      </c>
      <c r="GH28">
        <v>252400</v>
      </c>
      <c r="GI28">
        <v>254900</v>
      </c>
      <c r="GJ28">
        <v>257300</v>
      </c>
      <c r="GK28">
        <v>259700</v>
      </c>
      <c r="GL28">
        <v>262200</v>
      </c>
      <c r="GM28">
        <v>265100</v>
      </c>
      <c r="GN28">
        <v>267600</v>
      </c>
      <c r="GO28">
        <v>269900</v>
      </c>
      <c r="GP28">
        <v>272600</v>
      </c>
      <c r="GQ28">
        <v>275900</v>
      </c>
      <c r="GR28">
        <v>279400</v>
      </c>
      <c r="GS28">
        <v>282600</v>
      </c>
      <c r="GT28">
        <v>285200</v>
      </c>
      <c r="GU28">
        <v>287600</v>
      </c>
      <c r="GV28">
        <v>290200</v>
      </c>
      <c r="GW28">
        <v>293000</v>
      </c>
      <c r="GX28">
        <v>296200</v>
      </c>
      <c r="GY28">
        <v>299500</v>
      </c>
      <c r="GZ28">
        <v>302600</v>
      </c>
      <c r="HA28">
        <v>305100</v>
      </c>
      <c r="HB28">
        <v>307500</v>
      </c>
      <c r="HC28">
        <v>310000</v>
      </c>
      <c r="HD28">
        <v>312500</v>
      </c>
      <c r="HE28">
        <v>314000</v>
      </c>
      <c r="HF28">
        <v>315400</v>
      </c>
      <c r="HG28">
        <v>317100</v>
      </c>
      <c r="HH28">
        <v>318800</v>
      </c>
      <c r="HI28">
        <v>320000</v>
      </c>
      <c r="HJ28">
        <v>321300</v>
      </c>
      <c r="HK28">
        <v>323000</v>
      </c>
      <c r="HL28">
        <v>325500</v>
      </c>
      <c r="HM28">
        <v>328300</v>
      </c>
      <c r="HN28">
        <v>330400</v>
      </c>
      <c r="HO28">
        <v>331800</v>
      </c>
      <c r="HP28">
        <v>333500</v>
      </c>
      <c r="HQ28">
        <v>335100</v>
      </c>
      <c r="HR28">
        <v>336400</v>
      </c>
      <c r="HS28">
        <v>337500</v>
      </c>
      <c r="HT28">
        <v>338300</v>
      </c>
    </row>
    <row r="29" spans="1:228" x14ac:dyDescent="0.3">
      <c r="A29">
        <v>45</v>
      </c>
      <c r="B29" t="s">
        <v>255</v>
      </c>
      <c r="C29">
        <v>28</v>
      </c>
      <c r="D29">
        <v>65800</v>
      </c>
      <c r="E29">
        <v>66400</v>
      </c>
      <c r="F29">
        <v>66900</v>
      </c>
      <c r="G29">
        <v>67300</v>
      </c>
      <c r="H29">
        <v>67600</v>
      </c>
      <c r="I29">
        <v>67900</v>
      </c>
      <c r="J29">
        <v>68100</v>
      </c>
      <c r="K29">
        <v>68400</v>
      </c>
      <c r="L29">
        <v>68500</v>
      </c>
      <c r="M29">
        <v>68800</v>
      </c>
      <c r="N29">
        <v>69100</v>
      </c>
      <c r="O29">
        <v>69500</v>
      </c>
      <c r="P29">
        <v>69900</v>
      </c>
      <c r="Q29">
        <v>70200</v>
      </c>
      <c r="R29">
        <v>70300</v>
      </c>
      <c r="S29">
        <v>70400</v>
      </c>
      <c r="T29">
        <v>70400</v>
      </c>
      <c r="U29">
        <v>70400</v>
      </c>
      <c r="V29">
        <v>70500</v>
      </c>
      <c r="W29">
        <v>70700</v>
      </c>
      <c r="X29">
        <v>70900</v>
      </c>
      <c r="Y29">
        <v>71100</v>
      </c>
      <c r="Z29">
        <v>71300</v>
      </c>
      <c r="AA29">
        <v>71500</v>
      </c>
      <c r="AB29">
        <v>71800</v>
      </c>
      <c r="AC29">
        <v>72100</v>
      </c>
      <c r="AD29">
        <v>72400</v>
      </c>
      <c r="AE29">
        <v>72800</v>
      </c>
      <c r="AF29">
        <v>73200</v>
      </c>
      <c r="AG29">
        <v>73600</v>
      </c>
      <c r="AH29">
        <v>73900</v>
      </c>
      <c r="AI29">
        <v>74200</v>
      </c>
      <c r="AJ29">
        <v>74600</v>
      </c>
      <c r="AK29">
        <v>75000</v>
      </c>
      <c r="AL29">
        <v>75400</v>
      </c>
      <c r="AM29">
        <v>75700</v>
      </c>
      <c r="AN29">
        <v>75900</v>
      </c>
      <c r="AO29">
        <v>75900</v>
      </c>
      <c r="AP29">
        <v>76000</v>
      </c>
      <c r="AQ29">
        <v>76300</v>
      </c>
      <c r="AR29">
        <v>76500</v>
      </c>
      <c r="AS29">
        <v>76800</v>
      </c>
      <c r="AT29">
        <v>77200</v>
      </c>
      <c r="AU29">
        <v>77500</v>
      </c>
      <c r="AV29">
        <v>77900</v>
      </c>
      <c r="AW29">
        <v>78200</v>
      </c>
      <c r="AX29">
        <v>78500</v>
      </c>
      <c r="AY29">
        <v>78800</v>
      </c>
      <c r="AZ29">
        <v>79100</v>
      </c>
      <c r="BA29">
        <v>79400</v>
      </c>
      <c r="BB29">
        <v>79700</v>
      </c>
      <c r="BC29">
        <v>80000</v>
      </c>
      <c r="BD29">
        <v>80300</v>
      </c>
      <c r="BE29">
        <v>80500</v>
      </c>
      <c r="BF29">
        <v>80800</v>
      </c>
      <c r="BG29">
        <v>81200</v>
      </c>
      <c r="BH29">
        <v>81600</v>
      </c>
      <c r="BI29">
        <v>82000</v>
      </c>
      <c r="BJ29">
        <v>82400</v>
      </c>
      <c r="BK29">
        <v>82600</v>
      </c>
      <c r="BL29">
        <v>82800</v>
      </c>
      <c r="BM29">
        <v>82800</v>
      </c>
      <c r="BN29">
        <v>82700</v>
      </c>
      <c r="BO29">
        <v>82800</v>
      </c>
      <c r="BP29">
        <v>83100</v>
      </c>
      <c r="BQ29">
        <v>83500</v>
      </c>
      <c r="BR29">
        <v>83900</v>
      </c>
      <c r="BS29">
        <v>84400</v>
      </c>
      <c r="BT29">
        <v>84800</v>
      </c>
      <c r="BU29">
        <v>85200</v>
      </c>
      <c r="BV29">
        <v>85600</v>
      </c>
      <c r="BW29">
        <v>86000</v>
      </c>
      <c r="BX29">
        <v>86400</v>
      </c>
      <c r="BY29">
        <v>86800</v>
      </c>
      <c r="BZ29">
        <v>87200</v>
      </c>
      <c r="CA29">
        <v>87500</v>
      </c>
      <c r="CB29">
        <v>87900</v>
      </c>
      <c r="CC29">
        <v>88200</v>
      </c>
      <c r="CD29">
        <v>88600</v>
      </c>
      <c r="CE29">
        <v>88900</v>
      </c>
      <c r="CF29">
        <v>89200</v>
      </c>
      <c r="CG29">
        <v>89600</v>
      </c>
      <c r="CH29">
        <v>89900</v>
      </c>
      <c r="CI29">
        <v>90200</v>
      </c>
      <c r="CJ29">
        <v>90400</v>
      </c>
      <c r="CK29">
        <v>90600</v>
      </c>
      <c r="CL29">
        <v>90700</v>
      </c>
      <c r="CM29">
        <v>90900</v>
      </c>
      <c r="CN29">
        <v>91200</v>
      </c>
      <c r="CO29">
        <v>91500</v>
      </c>
      <c r="CP29">
        <v>91900</v>
      </c>
      <c r="CQ29">
        <v>92200</v>
      </c>
      <c r="CR29">
        <v>92500</v>
      </c>
      <c r="CS29">
        <v>92700</v>
      </c>
      <c r="CT29">
        <v>92900</v>
      </c>
      <c r="CU29">
        <v>93300</v>
      </c>
      <c r="CV29">
        <v>93700</v>
      </c>
      <c r="CW29">
        <v>94200</v>
      </c>
      <c r="CX29">
        <v>94700</v>
      </c>
      <c r="CY29">
        <v>95100</v>
      </c>
      <c r="CZ29">
        <v>95200</v>
      </c>
      <c r="DA29">
        <v>95200</v>
      </c>
      <c r="DB29">
        <v>95100</v>
      </c>
      <c r="DC29">
        <v>94900</v>
      </c>
      <c r="DD29">
        <v>94700</v>
      </c>
      <c r="DE29">
        <v>94500</v>
      </c>
      <c r="DF29">
        <v>94500</v>
      </c>
      <c r="DG29">
        <v>94500</v>
      </c>
      <c r="DH29">
        <v>94800</v>
      </c>
      <c r="DI29">
        <v>95100</v>
      </c>
      <c r="DJ29">
        <v>95500</v>
      </c>
      <c r="DK29">
        <v>95800</v>
      </c>
      <c r="DL29">
        <v>95900</v>
      </c>
      <c r="DM29">
        <v>95900</v>
      </c>
      <c r="DN29">
        <v>95900</v>
      </c>
      <c r="DO29">
        <v>96000</v>
      </c>
      <c r="DP29">
        <v>96100</v>
      </c>
      <c r="DQ29">
        <v>96200</v>
      </c>
      <c r="DR29">
        <v>96300</v>
      </c>
      <c r="DS29">
        <v>96400</v>
      </c>
      <c r="DT29">
        <v>96600</v>
      </c>
      <c r="DU29">
        <v>96900</v>
      </c>
      <c r="DV29">
        <v>96900</v>
      </c>
      <c r="DW29">
        <v>96800</v>
      </c>
      <c r="DX29">
        <v>96800</v>
      </c>
      <c r="DY29">
        <v>97000</v>
      </c>
      <c r="DZ29">
        <v>97000</v>
      </c>
      <c r="EA29">
        <v>96700</v>
      </c>
      <c r="EB29">
        <v>96300</v>
      </c>
      <c r="EC29">
        <v>95900</v>
      </c>
      <c r="ED29">
        <v>95600</v>
      </c>
      <c r="EE29">
        <v>95400</v>
      </c>
      <c r="EF29">
        <v>95200</v>
      </c>
      <c r="EG29">
        <v>94900</v>
      </c>
      <c r="EH29">
        <v>94500</v>
      </c>
      <c r="EI29">
        <v>94300</v>
      </c>
      <c r="EJ29">
        <v>94000</v>
      </c>
      <c r="EK29">
        <v>93600</v>
      </c>
      <c r="EL29">
        <v>93300</v>
      </c>
      <c r="EM29">
        <v>93300</v>
      </c>
      <c r="EN29">
        <v>93200</v>
      </c>
      <c r="EO29">
        <v>93100</v>
      </c>
      <c r="EP29">
        <v>93100</v>
      </c>
      <c r="EQ29">
        <v>93100</v>
      </c>
      <c r="ER29">
        <v>93100</v>
      </c>
      <c r="ES29">
        <v>92900</v>
      </c>
      <c r="ET29">
        <v>92800</v>
      </c>
      <c r="EU29">
        <v>92700</v>
      </c>
      <c r="EV29">
        <v>92900</v>
      </c>
      <c r="EW29">
        <v>93000</v>
      </c>
      <c r="EX29">
        <v>92900</v>
      </c>
      <c r="EY29">
        <v>92800</v>
      </c>
      <c r="EZ29">
        <v>92900</v>
      </c>
      <c r="FA29">
        <v>93100</v>
      </c>
      <c r="FB29">
        <v>93300</v>
      </c>
      <c r="FC29">
        <v>93200</v>
      </c>
      <c r="FD29">
        <v>93100</v>
      </c>
      <c r="FE29">
        <v>93100</v>
      </c>
      <c r="FF29">
        <v>93200</v>
      </c>
      <c r="FG29">
        <v>93200</v>
      </c>
      <c r="FH29">
        <v>93300</v>
      </c>
      <c r="FI29">
        <v>93500</v>
      </c>
      <c r="FJ29">
        <v>93800</v>
      </c>
      <c r="FK29">
        <v>93800</v>
      </c>
      <c r="FL29">
        <v>93800</v>
      </c>
      <c r="FM29">
        <v>94100</v>
      </c>
      <c r="FN29">
        <v>94200</v>
      </c>
      <c r="FO29">
        <v>94300</v>
      </c>
      <c r="FP29">
        <v>94500</v>
      </c>
      <c r="FQ29">
        <v>94700</v>
      </c>
      <c r="FR29">
        <v>94700</v>
      </c>
      <c r="FS29">
        <v>94700</v>
      </c>
      <c r="FT29">
        <v>94800</v>
      </c>
      <c r="FU29">
        <v>94900</v>
      </c>
      <c r="FV29">
        <v>94900</v>
      </c>
      <c r="FW29">
        <v>95200</v>
      </c>
      <c r="FX29">
        <v>95600</v>
      </c>
      <c r="FY29">
        <v>95700</v>
      </c>
      <c r="FZ29">
        <v>95800</v>
      </c>
      <c r="GA29">
        <v>96000</v>
      </c>
      <c r="GB29">
        <v>96000</v>
      </c>
      <c r="GC29">
        <v>96100</v>
      </c>
      <c r="GD29">
        <v>96500</v>
      </c>
      <c r="GE29">
        <v>97000</v>
      </c>
      <c r="GF29">
        <v>97500</v>
      </c>
      <c r="GG29">
        <v>97900</v>
      </c>
      <c r="GH29">
        <v>98200</v>
      </c>
      <c r="GI29">
        <v>98800</v>
      </c>
      <c r="GJ29">
        <v>99200</v>
      </c>
      <c r="GK29">
        <v>99500</v>
      </c>
      <c r="GL29">
        <v>99800</v>
      </c>
      <c r="GM29">
        <v>100300</v>
      </c>
      <c r="GN29">
        <v>100900</v>
      </c>
      <c r="GO29">
        <v>101700</v>
      </c>
      <c r="GP29">
        <v>102700</v>
      </c>
      <c r="GQ29">
        <v>103600</v>
      </c>
      <c r="GR29">
        <v>104200</v>
      </c>
      <c r="GS29">
        <v>105000</v>
      </c>
      <c r="GT29">
        <v>106100</v>
      </c>
      <c r="GU29">
        <v>106900</v>
      </c>
      <c r="GV29">
        <v>107500</v>
      </c>
      <c r="GW29">
        <v>108200</v>
      </c>
      <c r="GX29">
        <v>109200</v>
      </c>
      <c r="GY29">
        <v>110000</v>
      </c>
      <c r="GZ29">
        <v>110700</v>
      </c>
      <c r="HA29">
        <v>111200</v>
      </c>
      <c r="HB29">
        <v>111700</v>
      </c>
      <c r="HC29">
        <v>112400</v>
      </c>
      <c r="HD29">
        <v>113200</v>
      </c>
      <c r="HE29">
        <v>113800</v>
      </c>
      <c r="HF29">
        <v>114200</v>
      </c>
      <c r="HG29">
        <v>114500</v>
      </c>
      <c r="HH29">
        <v>115000</v>
      </c>
      <c r="HI29">
        <v>115500</v>
      </c>
      <c r="HJ29">
        <v>115900</v>
      </c>
      <c r="HK29">
        <v>116400</v>
      </c>
      <c r="HL29">
        <v>117000</v>
      </c>
      <c r="HM29">
        <v>117900</v>
      </c>
      <c r="HN29">
        <v>118700</v>
      </c>
      <c r="HO29">
        <v>119400</v>
      </c>
      <c r="HP29">
        <v>119700</v>
      </c>
      <c r="HQ29">
        <v>119700</v>
      </c>
      <c r="HR29">
        <v>119800</v>
      </c>
      <c r="HS29">
        <v>120300</v>
      </c>
      <c r="HT29">
        <v>120600</v>
      </c>
    </row>
    <row r="30" spans="1:228" x14ac:dyDescent="0.3">
      <c r="A30">
        <v>11</v>
      </c>
      <c r="B30" t="s">
        <v>256</v>
      </c>
      <c r="C30">
        <v>29</v>
      </c>
      <c r="D30">
        <v>153500</v>
      </c>
      <c r="E30">
        <v>154700</v>
      </c>
      <c r="F30">
        <v>155800</v>
      </c>
      <c r="G30">
        <v>156800</v>
      </c>
      <c r="H30">
        <v>157700</v>
      </c>
      <c r="I30">
        <v>158700</v>
      </c>
      <c r="J30">
        <v>159600</v>
      </c>
      <c r="K30">
        <v>160400</v>
      </c>
      <c r="L30">
        <v>161400</v>
      </c>
      <c r="M30">
        <v>162400</v>
      </c>
      <c r="N30">
        <v>163500</v>
      </c>
      <c r="O30">
        <v>164600</v>
      </c>
      <c r="P30">
        <v>165900</v>
      </c>
      <c r="Q30">
        <v>167200</v>
      </c>
      <c r="R30">
        <v>168600</v>
      </c>
      <c r="S30">
        <v>169900</v>
      </c>
      <c r="T30">
        <v>171300</v>
      </c>
      <c r="U30">
        <v>172700</v>
      </c>
      <c r="V30">
        <v>174100</v>
      </c>
      <c r="W30">
        <v>175600</v>
      </c>
      <c r="X30">
        <v>177100</v>
      </c>
      <c r="Y30">
        <v>178600</v>
      </c>
      <c r="Z30">
        <v>180100</v>
      </c>
      <c r="AA30">
        <v>181700</v>
      </c>
      <c r="AB30">
        <v>183200</v>
      </c>
      <c r="AC30">
        <v>184900</v>
      </c>
      <c r="AD30">
        <v>186500</v>
      </c>
      <c r="AE30">
        <v>188100</v>
      </c>
      <c r="AF30">
        <v>189700</v>
      </c>
      <c r="AG30">
        <v>191400</v>
      </c>
      <c r="AH30">
        <v>193100</v>
      </c>
      <c r="AI30">
        <v>194900</v>
      </c>
      <c r="AJ30">
        <v>196800</v>
      </c>
      <c r="AK30">
        <v>198900</v>
      </c>
      <c r="AL30">
        <v>201000</v>
      </c>
      <c r="AM30">
        <v>203200</v>
      </c>
      <c r="AN30">
        <v>205400</v>
      </c>
      <c r="AO30">
        <v>207400</v>
      </c>
      <c r="AP30">
        <v>209600</v>
      </c>
      <c r="AQ30">
        <v>212000</v>
      </c>
      <c r="AR30">
        <v>214500</v>
      </c>
      <c r="AS30">
        <v>217200</v>
      </c>
      <c r="AT30">
        <v>220000</v>
      </c>
      <c r="AU30">
        <v>222700</v>
      </c>
      <c r="AV30">
        <v>225300</v>
      </c>
      <c r="AW30">
        <v>227700</v>
      </c>
      <c r="AX30">
        <v>230100</v>
      </c>
      <c r="AY30">
        <v>232400</v>
      </c>
      <c r="AZ30">
        <v>234700</v>
      </c>
      <c r="BA30">
        <v>237000</v>
      </c>
      <c r="BB30">
        <v>239300</v>
      </c>
      <c r="BC30">
        <v>241600</v>
      </c>
      <c r="BD30">
        <v>243900</v>
      </c>
      <c r="BE30">
        <v>246300</v>
      </c>
      <c r="BF30">
        <v>248900</v>
      </c>
      <c r="BG30">
        <v>251400</v>
      </c>
      <c r="BH30">
        <v>254100</v>
      </c>
      <c r="BI30">
        <v>256800</v>
      </c>
      <c r="BJ30">
        <v>259400</v>
      </c>
      <c r="BK30">
        <v>261900</v>
      </c>
      <c r="BL30">
        <v>264400</v>
      </c>
      <c r="BM30">
        <v>266800</v>
      </c>
      <c r="BN30">
        <v>269100</v>
      </c>
      <c r="BO30">
        <v>271600</v>
      </c>
      <c r="BP30">
        <v>274000</v>
      </c>
      <c r="BQ30">
        <v>276300</v>
      </c>
      <c r="BR30">
        <v>278500</v>
      </c>
      <c r="BS30">
        <v>280700</v>
      </c>
      <c r="BT30">
        <v>282600</v>
      </c>
      <c r="BU30">
        <v>284500</v>
      </c>
      <c r="BV30">
        <v>286000</v>
      </c>
      <c r="BW30">
        <v>287200</v>
      </c>
      <c r="BX30">
        <v>288100</v>
      </c>
      <c r="BY30">
        <v>288800</v>
      </c>
      <c r="BZ30">
        <v>289400</v>
      </c>
      <c r="CA30">
        <v>289900</v>
      </c>
      <c r="CB30">
        <v>290100</v>
      </c>
      <c r="CC30">
        <v>290100</v>
      </c>
      <c r="CD30">
        <v>289900</v>
      </c>
      <c r="CE30">
        <v>289400</v>
      </c>
      <c r="CF30">
        <v>288900</v>
      </c>
      <c r="CG30">
        <v>288200</v>
      </c>
      <c r="CH30">
        <v>287600</v>
      </c>
      <c r="CI30">
        <v>287100</v>
      </c>
      <c r="CJ30">
        <v>286900</v>
      </c>
      <c r="CK30">
        <v>286700</v>
      </c>
      <c r="CL30">
        <v>286500</v>
      </c>
      <c r="CM30">
        <v>286200</v>
      </c>
      <c r="CN30">
        <v>285600</v>
      </c>
      <c r="CO30">
        <v>284600</v>
      </c>
      <c r="CP30">
        <v>283600</v>
      </c>
      <c r="CQ30">
        <v>282500</v>
      </c>
      <c r="CR30">
        <v>281400</v>
      </c>
      <c r="CS30">
        <v>280100</v>
      </c>
      <c r="CT30">
        <v>278600</v>
      </c>
      <c r="CU30">
        <v>276900</v>
      </c>
      <c r="CV30">
        <v>275200</v>
      </c>
      <c r="CW30">
        <v>273400</v>
      </c>
      <c r="CX30">
        <v>271800</v>
      </c>
      <c r="CY30">
        <v>270400</v>
      </c>
      <c r="CZ30">
        <v>269100</v>
      </c>
      <c r="DA30">
        <v>267600</v>
      </c>
      <c r="DB30">
        <v>265700</v>
      </c>
      <c r="DC30">
        <v>263600</v>
      </c>
      <c r="DD30">
        <v>261400</v>
      </c>
      <c r="DE30">
        <v>259500</v>
      </c>
      <c r="DF30">
        <v>257800</v>
      </c>
      <c r="DG30">
        <v>256200</v>
      </c>
      <c r="DH30">
        <v>254700</v>
      </c>
      <c r="DI30">
        <v>253200</v>
      </c>
      <c r="DJ30">
        <v>251400</v>
      </c>
      <c r="DK30">
        <v>249400</v>
      </c>
      <c r="DL30">
        <v>247000</v>
      </c>
      <c r="DM30">
        <v>244700</v>
      </c>
      <c r="DN30">
        <v>243100</v>
      </c>
      <c r="DO30">
        <v>242300</v>
      </c>
      <c r="DP30">
        <v>242100</v>
      </c>
      <c r="DQ30">
        <v>242300</v>
      </c>
      <c r="DR30">
        <v>242600</v>
      </c>
      <c r="DS30">
        <v>243100</v>
      </c>
      <c r="DT30">
        <v>243800</v>
      </c>
      <c r="DU30">
        <v>244400</v>
      </c>
      <c r="DV30">
        <v>243900</v>
      </c>
      <c r="DW30">
        <v>242800</v>
      </c>
      <c r="DX30">
        <v>242300</v>
      </c>
      <c r="DY30">
        <v>242100</v>
      </c>
      <c r="DZ30">
        <v>241100</v>
      </c>
      <c r="EA30">
        <v>239500</v>
      </c>
      <c r="EB30">
        <v>238200</v>
      </c>
      <c r="EC30">
        <v>236900</v>
      </c>
      <c r="ED30">
        <v>234900</v>
      </c>
      <c r="EE30">
        <v>232900</v>
      </c>
      <c r="EF30">
        <v>231400</v>
      </c>
      <c r="EG30">
        <v>230100</v>
      </c>
      <c r="EH30">
        <v>229100</v>
      </c>
      <c r="EI30">
        <v>228400</v>
      </c>
      <c r="EJ30">
        <v>227600</v>
      </c>
      <c r="EK30">
        <v>226900</v>
      </c>
      <c r="EL30">
        <v>226400</v>
      </c>
      <c r="EM30">
        <v>225600</v>
      </c>
      <c r="EN30">
        <v>224600</v>
      </c>
      <c r="EO30">
        <v>223400</v>
      </c>
      <c r="EP30">
        <v>222000</v>
      </c>
      <c r="EQ30">
        <v>220500</v>
      </c>
      <c r="ER30">
        <v>218600</v>
      </c>
      <c r="ES30">
        <v>217000</v>
      </c>
      <c r="ET30">
        <v>216400</v>
      </c>
      <c r="EU30">
        <v>216200</v>
      </c>
      <c r="EV30">
        <v>215900</v>
      </c>
      <c r="EW30">
        <v>215700</v>
      </c>
      <c r="EX30">
        <v>215800</v>
      </c>
      <c r="EY30">
        <v>215700</v>
      </c>
      <c r="EZ30">
        <v>215400</v>
      </c>
      <c r="FA30">
        <v>215600</v>
      </c>
      <c r="FB30">
        <v>215800</v>
      </c>
      <c r="FC30">
        <v>215700</v>
      </c>
      <c r="FD30">
        <v>215600</v>
      </c>
      <c r="FE30">
        <v>215800</v>
      </c>
      <c r="FF30">
        <v>216200</v>
      </c>
      <c r="FG30">
        <v>216900</v>
      </c>
      <c r="FH30">
        <v>217800</v>
      </c>
      <c r="FI30">
        <v>218400</v>
      </c>
      <c r="FJ30">
        <v>219300</v>
      </c>
      <c r="FK30">
        <v>220200</v>
      </c>
      <c r="FL30">
        <v>220400</v>
      </c>
      <c r="FM30">
        <v>220400</v>
      </c>
      <c r="FN30">
        <v>221000</v>
      </c>
      <c r="FO30">
        <v>221600</v>
      </c>
      <c r="FP30">
        <v>221700</v>
      </c>
      <c r="FQ30">
        <v>221700</v>
      </c>
      <c r="FR30">
        <v>221600</v>
      </c>
      <c r="FS30">
        <v>221200</v>
      </c>
      <c r="FT30">
        <v>220700</v>
      </c>
      <c r="FU30">
        <v>220500</v>
      </c>
      <c r="FV30">
        <v>220600</v>
      </c>
      <c r="FW30">
        <v>220400</v>
      </c>
      <c r="FX30">
        <v>220100</v>
      </c>
      <c r="FY30">
        <v>219900</v>
      </c>
      <c r="FZ30">
        <v>220400</v>
      </c>
      <c r="GA30">
        <v>221000</v>
      </c>
      <c r="GB30">
        <v>221600</v>
      </c>
      <c r="GC30">
        <v>221700</v>
      </c>
      <c r="GD30">
        <v>221600</v>
      </c>
      <c r="GE30">
        <v>221500</v>
      </c>
      <c r="GF30">
        <v>221700</v>
      </c>
      <c r="GG30">
        <v>221900</v>
      </c>
      <c r="GH30">
        <v>221900</v>
      </c>
      <c r="GI30">
        <v>222000</v>
      </c>
      <c r="GJ30">
        <v>222200</v>
      </c>
      <c r="GK30">
        <v>222400</v>
      </c>
      <c r="GL30">
        <v>222400</v>
      </c>
      <c r="GM30">
        <v>222600</v>
      </c>
      <c r="GN30">
        <v>222800</v>
      </c>
      <c r="GO30">
        <v>223200</v>
      </c>
      <c r="GP30">
        <v>223700</v>
      </c>
      <c r="GQ30">
        <v>224100</v>
      </c>
      <c r="GR30">
        <v>224400</v>
      </c>
      <c r="GS30">
        <v>224700</v>
      </c>
      <c r="GT30">
        <v>224700</v>
      </c>
      <c r="GU30">
        <v>224800</v>
      </c>
      <c r="GV30">
        <v>225500</v>
      </c>
      <c r="GW30">
        <v>226100</v>
      </c>
      <c r="GX30">
        <v>226500</v>
      </c>
      <c r="GY30">
        <v>226900</v>
      </c>
      <c r="GZ30">
        <v>227500</v>
      </c>
      <c r="HA30">
        <v>228000</v>
      </c>
      <c r="HB30">
        <v>228600</v>
      </c>
      <c r="HC30">
        <v>229400</v>
      </c>
      <c r="HD30">
        <v>230100</v>
      </c>
      <c r="HE30">
        <v>230100</v>
      </c>
      <c r="HF30">
        <v>230500</v>
      </c>
      <c r="HG30">
        <v>231700</v>
      </c>
      <c r="HH30">
        <v>233100</v>
      </c>
      <c r="HI30">
        <v>234000</v>
      </c>
      <c r="HJ30">
        <v>235100</v>
      </c>
      <c r="HK30">
        <v>236000</v>
      </c>
      <c r="HL30">
        <v>237000</v>
      </c>
      <c r="HM30">
        <v>237500</v>
      </c>
      <c r="HN30">
        <v>237900</v>
      </c>
      <c r="HO30">
        <v>238400</v>
      </c>
      <c r="HP30">
        <v>239200</v>
      </c>
      <c r="HQ30">
        <v>239900</v>
      </c>
      <c r="HR30">
        <v>240400</v>
      </c>
      <c r="HS30">
        <v>241100</v>
      </c>
      <c r="HT30">
        <v>241800</v>
      </c>
    </row>
    <row r="31" spans="1:228" x14ac:dyDescent="0.3">
      <c r="A31">
        <v>19</v>
      </c>
      <c r="B31" t="s">
        <v>257</v>
      </c>
      <c r="C31">
        <v>30</v>
      </c>
      <c r="D31">
        <v>75900</v>
      </c>
      <c r="E31">
        <v>76500</v>
      </c>
      <c r="F31">
        <v>77300</v>
      </c>
      <c r="G31">
        <v>78100</v>
      </c>
      <c r="H31">
        <v>78800</v>
      </c>
      <c r="I31">
        <v>79500</v>
      </c>
      <c r="J31">
        <v>80100</v>
      </c>
      <c r="K31">
        <v>80700</v>
      </c>
      <c r="L31">
        <v>81100</v>
      </c>
      <c r="M31">
        <v>81500</v>
      </c>
      <c r="N31">
        <v>81800</v>
      </c>
      <c r="O31">
        <v>82000</v>
      </c>
      <c r="P31">
        <v>82300</v>
      </c>
      <c r="Q31">
        <v>82600</v>
      </c>
      <c r="R31">
        <v>82900</v>
      </c>
      <c r="S31">
        <v>83200</v>
      </c>
      <c r="T31">
        <v>83500</v>
      </c>
      <c r="U31">
        <v>83700</v>
      </c>
      <c r="V31">
        <v>83900</v>
      </c>
      <c r="W31">
        <v>84100</v>
      </c>
      <c r="X31">
        <v>84500</v>
      </c>
      <c r="Y31">
        <v>84800</v>
      </c>
      <c r="Z31">
        <v>85100</v>
      </c>
      <c r="AA31">
        <v>85500</v>
      </c>
      <c r="AB31">
        <v>85900</v>
      </c>
      <c r="AC31">
        <v>86300</v>
      </c>
      <c r="AD31">
        <v>86900</v>
      </c>
      <c r="AE31">
        <v>87500</v>
      </c>
      <c r="AF31">
        <v>88000</v>
      </c>
      <c r="AG31">
        <v>88500</v>
      </c>
      <c r="AH31">
        <v>88900</v>
      </c>
      <c r="AI31">
        <v>89200</v>
      </c>
      <c r="AJ31">
        <v>89300</v>
      </c>
      <c r="AK31">
        <v>89500</v>
      </c>
      <c r="AL31">
        <v>89700</v>
      </c>
      <c r="AM31">
        <v>89800</v>
      </c>
      <c r="AN31">
        <v>89900</v>
      </c>
      <c r="AO31">
        <v>90000</v>
      </c>
      <c r="AP31">
        <v>90200</v>
      </c>
      <c r="AQ31">
        <v>90600</v>
      </c>
      <c r="AR31">
        <v>91000</v>
      </c>
      <c r="AS31">
        <v>91500</v>
      </c>
      <c r="AT31">
        <v>92000</v>
      </c>
      <c r="AU31">
        <v>92300</v>
      </c>
      <c r="AV31">
        <v>92700</v>
      </c>
      <c r="AW31">
        <v>93000</v>
      </c>
      <c r="AX31">
        <v>93200</v>
      </c>
      <c r="AY31">
        <v>93400</v>
      </c>
      <c r="AZ31">
        <v>93700</v>
      </c>
      <c r="BA31">
        <v>94000</v>
      </c>
      <c r="BB31">
        <v>94300</v>
      </c>
      <c r="BC31">
        <v>94700</v>
      </c>
      <c r="BD31">
        <v>95000</v>
      </c>
      <c r="BE31">
        <v>95400</v>
      </c>
      <c r="BF31">
        <v>95800</v>
      </c>
      <c r="BG31">
        <v>96300</v>
      </c>
      <c r="BH31">
        <v>96800</v>
      </c>
      <c r="BI31">
        <v>97400</v>
      </c>
      <c r="BJ31">
        <v>98300</v>
      </c>
      <c r="BK31">
        <v>99300</v>
      </c>
      <c r="BL31">
        <v>100200</v>
      </c>
      <c r="BM31">
        <v>100900</v>
      </c>
      <c r="BN31">
        <v>101300</v>
      </c>
      <c r="BO31">
        <v>101500</v>
      </c>
      <c r="BP31">
        <v>101700</v>
      </c>
      <c r="BQ31">
        <v>102000</v>
      </c>
      <c r="BR31">
        <v>102500</v>
      </c>
      <c r="BS31">
        <v>102900</v>
      </c>
      <c r="BT31">
        <v>103400</v>
      </c>
      <c r="BU31">
        <v>103800</v>
      </c>
      <c r="BV31">
        <v>104100</v>
      </c>
      <c r="BW31">
        <v>104300</v>
      </c>
      <c r="BX31">
        <v>104400</v>
      </c>
      <c r="BY31">
        <v>104500</v>
      </c>
      <c r="BZ31">
        <v>104600</v>
      </c>
      <c r="CA31">
        <v>104800</v>
      </c>
      <c r="CB31">
        <v>105100</v>
      </c>
      <c r="CC31">
        <v>105600</v>
      </c>
      <c r="CD31">
        <v>106100</v>
      </c>
      <c r="CE31">
        <v>106700</v>
      </c>
      <c r="CF31">
        <v>107200</v>
      </c>
      <c r="CG31">
        <v>107600</v>
      </c>
      <c r="CH31">
        <v>108000</v>
      </c>
      <c r="CI31">
        <v>108300</v>
      </c>
      <c r="CJ31">
        <v>108500</v>
      </c>
      <c r="CK31">
        <v>108800</v>
      </c>
      <c r="CL31">
        <v>109200</v>
      </c>
      <c r="CM31">
        <v>109400</v>
      </c>
      <c r="CN31">
        <v>109600</v>
      </c>
      <c r="CO31">
        <v>109700</v>
      </c>
      <c r="CP31">
        <v>109800</v>
      </c>
      <c r="CQ31">
        <v>109900</v>
      </c>
      <c r="CR31">
        <v>110100</v>
      </c>
      <c r="CS31">
        <v>110300</v>
      </c>
      <c r="CT31">
        <v>110600</v>
      </c>
      <c r="CU31">
        <v>110900</v>
      </c>
      <c r="CV31">
        <v>111100</v>
      </c>
      <c r="CW31">
        <v>111300</v>
      </c>
      <c r="CX31">
        <v>111600</v>
      </c>
      <c r="CY31">
        <v>111800</v>
      </c>
      <c r="CZ31">
        <v>111900</v>
      </c>
      <c r="DA31">
        <v>111700</v>
      </c>
      <c r="DB31">
        <v>111400</v>
      </c>
      <c r="DC31">
        <v>111200</v>
      </c>
      <c r="DD31">
        <v>110900</v>
      </c>
      <c r="DE31">
        <v>110700</v>
      </c>
      <c r="DF31">
        <v>110600</v>
      </c>
      <c r="DG31">
        <v>110600</v>
      </c>
      <c r="DH31">
        <v>110600</v>
      </c>
      <c r="DI31">
        <v>110700</v>
      </c>
      <c r="DJ31">
        <v>110900</v>
      </c>
      <c r="DK31">
        <v>111100</v>
      </c>
      <c r="DL31">
        <v>111100</v>
      </c>
      <c r="DM31">
        <v>111000</v>
      </c>
      <c r="DN31">
        <v>111000</v>
      </c>
      <c r="DO31">
        <v>111000</v>
      </c>
      <c r="DP31">
        <v>111100</v>
      </c>
      <c r="DQ31">
        <v>111100</v>
      </c>
      <c r="DR31">
        <v>111100</v>
      </c>
      <c r="DS31">
        <v>111100</v>
      </c>
      <c r="DT31">
        <v>111100</v>
      </c>
      <c r="DU31">
        <v>111200</v>
      </c>
      <c r="DV31">
        <v>111300</v>
      </c>
      <c r="DW31">
        <v>111400</v>
      </c>
      <c r="DX31">
        <v>111700</v>
      </c>
      <c r="DY31">
        <v>112300</v>
      </c>
      <c r="DZ31">
        <v>112700</v>
      </c>
      <c r="EA31">
        <v>112500</v>
      </c>
      <c r="EB31">
        <v>112200</v>
      </c>
      <c r="EC31">
        <v>112000</v>
      </c>
      <c r="ED31">
        <v>111600</v>
      </c>
      <c r="EE31">
        <v>111200</v>
      </c>
      <c r="EF31">
        <v>110800</v>
      </c>
      <c r="EG31">
        <v>110300</v>
      </c>
      <c r="EH31">
        <v>109900</v>
      </c>
      <c r="EI31">
        <v>109800</v>
      </c>
      <c r="EJ31">
        <v>109800</v>
      </c>
      <c r="EK31">
        <v>109700</v>
      </c>
      <c r="EL31">
        <v>109700</v>
      </c>
      <c r="EM31">
        <v>109900</v>
      </c>
      <c r="EN31">
        <v>110000</v>
      </c>
      <c r="EO31">
        <v>109900</v>
      </c>
      <c r="EP31">
        <v>110100</v>
      </c>
      <c r="EQ31">
        <v>110300</v>
      </c>
      <c r="ER31">
        <v>110500</v>
      </c>
      <c r="ES31">
        <v>110700</v>
      </c>
      <c r="ET31">
        <v>110800</v>
      </c>
      <c r="EU31">
        <v>110800</v>
      </c>
      <c r="EV31">
        <v>110900</v>
      </c>
      <c r="EW31">
        <v>111100</v>
      </c>
      <c r="EX31">
        <v>111200</v>
      </c>
      <c r="EY31">
        <v>111400</v>
      </c>
      <c r="EZ31">
        <v>111700</v>
      </c>
      <c r="FA31">
        <v>112100</v>
      </c>
      <c r="FB31">
        <v>112400</v>
      </c>
      <c r="FC31">
        <v>112700</v>
      </c>
      <c r="FD31">
        <v>113100</v>
      </c>
      <c r="FE31">
        <v>113400</v>
      </c>
      <c r="FF31">
        <v>113900</v>
      </c>
      <c r="FG31">
        <v>114200</v>
      </c>
      <c r="FH31">
        <v>114200</v>
      </c>
      <c r="FI31">
        <v>114100</v>
      </c>
      <c r="FJ31">
        <v>114400</v>
      </c>
      <c r="FK31">
        <v>114700</v>
      </c>
      <c r="FL31">
        <v>114900</v>
      </c>
      <c r="FM31">
        <v>115100</v>
      </c>
      <c r="FN31">
        <v>115500</v>
      </c>
      <c r="FO31">
        <v>115800</v>
      </c>
      <c r="FP31">
        <v>116000</v>
      </c>
      <c r="FQ31">
        <v>116300</v>
      </c>
      <c r="FR31">
        <v>116700</v>
      </c>
      <c r="FS31">
        <v>117000</v>
      </c>
      <c r="FT31">
        <v>117300</v>
      </c>
      <c r="FU31">
        <v>117700</v>
      </c>
      <c r="FV31">
        <v>118000</v>
      </c>
      <c r="FW31">
        <v>118300</v>
      </c>
      <c r="FX31">
        <v>118800</v>
      </c>
      <c r="FY31">
        <v>119200</v>
      </c>
      <c r="FZ31">
        <v>119400</v>
      </c>
      <c r="GA31">
        <v>119900</v>
      </c>
      <c r="GB31">
        <v>120400</v>
      </c>
      <c r="GC31">
        <v>120900</v>
      </c>
      <c r="GD31">
        <v>121300</v>
      </c>
      <c r="GE31">
        <v>122000</v>
      </c>
      <c r="GF31">
        <v>122700</v>
      </c>
      <c r="GG31">
        <v>123200</v>
      </c>
      <c r="GH31">
        <v>123500</v>
      </c>
      <c r="GI31">
        <v>123700</v>
      </c>
      <c r="GJ31">
        <v>123900</v>
      </c>
      <c r="GK31">
        <v>124300</v>
      </c>
      <c r="GL31">
        <v>124700</v>
      </c>
      <c r="GM31">
        <v>124900</v>
      </c>
      <c r="GN31">
        <v>125000</v>
      </c>
      <c r="GO31">
        <v>125600</v>
      </c>
      <c r="GP31">
        <v>126000</v>
      </c>
      <c r="GQ31">
        <v>126400</v>
      </c>
      <c r="GR31">
        <v>126900</v>
      </c>
      <c r="GS31">
        <v>127500</v>
      </c>
      <c r="GT31">
        <v>128000</v>
      </c>
      <c r="GU31">
        <v>128400</v>
      </c>
      <c r="GV31">
        <v>128700</v>
      </c>
      <c r="GW31">
        <v>129100</v>
      </c>
      <c r="GX31">
        <v>129600</v>
      </c>
      <c r="GY31">
        <v>130000</v>
      </c>
      <c r="GZ31">
        <v>130600</v>
      </c>
      <c r="HA31">
        <v>131200</v>
      </c>
      <c r="HB31">
        <v>131900</v>
      </c>
      <c r="HC31">
        <v>132700</v>
      </c>
      <c r="HD31">
        <v>133200</v>
      </c>
      <c r="HE31">
        <v>133400</v>
      </c>
      <c r="HF31">
        <v>133700</v>
      </c>
      <c r="HG31">
        <v>134000</v>
      </c>
      <c r="HH31">
        <v>134400</v>
      </c>
      <c r="HI31">
        <v>135000</v>
      </c>
      <c r="HJ31">
        <v>136000</v>
      </c>
      <c r="HK31">
        <v>136900</v>
      </c>
      <c r="HL31">
        <v>137400</v>
      </c>
      <c r="HM31">
        <v>137600</v>
      </c>
      <c r="HN31">
        <v>137800</v>
      </c>
      <c r="HO31">
        <v>138100</v>
      </c>
      <c r="HP31">
        <v>138300</v>
      </c>
      <c r="HQ31">
        <v>138600</v>
      </c>
      <c r="HR31">
        <v>139200</v>
      </c>
      <c r="HS31">
        <v>139900</v>
      </c>
      <c r="HT31">
        <v>140500</v>
      </c>
    </row>
    <row r="32" spans="1:228" x14ac:dyDescent="0.3">
      <c r="A32">
        <v>34</v>
      </c>
      <c r="B32" t="s">
        <v>258</v>
      </c>
      <c r="C32">
        <v>31</v>
      </c>
      <c r="D32">
        <v>73000</v>
      </c>
      <c r="E32">
        <v>73200</v>
      </c>
      <c r="F32">
        <v>73300</v>
      </c>
      <c r="G32">
        <v>73300</v>
      </c>
      <c r="H32">
        <v>73100</v>
      </c>
      <c r="I32">
        <v>72600</v>
      </c>
      <c r="J32">
        <v>71800</v>
      </c>
      <c r="K32">
        <v>70800</v>
      </c>
      <c r="L32">
        <v>69700</v>
      </c>
      <c r="M32">
        <v>68700</v>
      </c>
      <c r="N32">
        <v>67900</v>
      </c>
      <c r="O32">
        <v>67500</v>
      </c>
      <c r="P32">
        <v>67300</v>
      </c>
      <c r="Q32">
        <v>67200</v>
      </c>
      <c r="R32">
        <v>67200</v>
      </c>
      <c r="S32">
        <v>67300</v>
      </c>
      <c r="T32">
        <v>67400</v>
      </c>
      <c r="U32">
        <v>67600</v>
      </c>
      <c r="V32">
        <v>67900</v>
      </c>
      <c r="W32">
        <v>68100</v>
      </c>
      <c r="X32">
        <v>68300</v>
      </c>
      <c r="Y32">
        <v>68400</v>
      </c>
      <c r="Z32">
        <v>68400</v>
      </c>
      <c r="AA32">
        <v>68500</v>
      </c>
      <c r="AB32">
        <v>68700</v>
      </c>
      <c r="AC32">
        <v>68800</v>
      </c>
      <c r="AD32">
        <v>68800</v>
      </c>
      <c r="AE32">
        <v>68900</v>
      </c>
      <c r="AF32">
        <v>69000</v>
      </c>
      <c r="AG32">
        <v>69200</v>
      </c>
      <c r="AH32">
        <v>69400</v>
      </c>
      <c r="AI32">
        <v>69500</v>
      </c>
      <c r="AJ32">
        <v>69600</v>
      </c>
      <c r="AK32">
        <v>69600</v>
      </c>
      <c r="AL32">
        <v>69600</v>
      </c>
      <c r="AM32">
        <v>69700</v>
      </c>
      <c r="AN32">
        <v>69700</v>
      </c>
      <c r="AO32">
        <v>69800</v>
      </c>
      <c r="AP32">
        <v>70000</v>
      </c>
      <c r="AQ32">
        <v>70100</v>
      </c>
      <c r="AR32">
        <v>70200</v>
      </c>
      <c r="AS32">
        <v>70200</v>
      </c>
      <c r="AT32">
        <v>70100</v>
      </c>
      <c r="AU32">
        <v>70000</v>
      </c>
      <c r="AV32">
        <v>69900</v>
      </c>
      <c r="AW32">
        <v>69800</v>
      </c>
      <c r="AX32">
        <v>69800</v>
      </c>
      <c r="AY32">
        <v>69800</v>
      </c>
      <c r="AZ32">
        <v>69900</v>
      </c>
      <c r="BA32">
        <v>70100</v>
      </c>
      <c r="BB32">
        <v>70200</v>
      </c>
      <c r="BC32">
        <v>70300</v>
      </c>
      <c r="BD32">
        <v>70400</v>
      </c>
      <c r="BE32">
        <v>70600</v>
      </c>
      <c r="BF32">
        <v>71200</v>
      </c>
      <c r="BG32">
        <v>72200</v>
      </c>
      <c r="BH32">
        <v>74200</v>
      </c>
      <c r="BI32">
        <v>76800</v>
      </c>
      <c r="BJ32">
        <v>79700</v>
      </c>
      <c r="BK32">
        <v>82500</v>
      </c>
      <c r="BL32">
        <v>84900</v>
      </c>
      <c r="BM32">
        <v>86900</v>
      </c>
      <c r="BN32">
        <v>88500</v>
      </c>
      <c r="BO32">
        <v>90100</v>
      </c>
      <c r="BP32">
        <v>91900</v>
      </c>
      <c r="BQ32">
        <v>93800</v>
      </c>
      <c r="BR32">
        <v>95700</v>
      </c>
      <c r="BS32">
        <v>97300</v>
      </c>
      <c r="BT32">
        <v>98500</v>
      </c>
      <c r="BU32">
        <v>99300</v>
      </c>
      <c r="BV32">
        <v>100000</v>
      </c>
      <c r="BW32">
        <v>100500</v>
      </c>
      <c r="BX32">
        <v>101200</v>
      </c>
      <c r="BY32">
        <v>102100</v>
      </c>
      <c r="BZ32">
        <v>103400</v>
      </c>
      <c r="CA32">
        <v>104900</v>
      </c>
      <c r="CB32">
        <v>106400</v>
      </c>
      <c r="CC32">
        <v>107900</v>
      </c>
      <c r="CD32">
        <v>109500</v>
      </c>
      <c r="CE32">
        <v>111000</v>
      </c>
      <c r="CF32">
        <v>112200</v>
      </c>
      <c r="CG32">
        <v>113100</v>
      </c>
      <c r="CH32">
        <v>113700</v>
      </c>
      <c r="CI32">
        <v>114300</v>
      </c>
      <c r="CJ32">
        <v>114800</v>
      </c>
      <c r="CK32">
        <v>115300</v>
      </c>
      <c r="CL32">
        <v>115400</v>
      </c>
      <c r="CM32">
        <v>115400</v>
      </c>
      <c r="CN32">
        <v>115300</v>
      </c>
      <c r="CO32">
        <v>115200</v>
      </c>
      <c r="CP32">
        <v>115400</v>
      </c>
      <c r="CQ32">
        <v>115700</v>
      </c>
      <c r="CR32">
        <v>116100</v>
      </c>
      <c r="CS32">
        <v>116300</v>
      </c>
      <c r="CT32">
        <v>116000</v>
      </c>
      <c r="CU32">
        <v>115600</v>
      </c>
      <c r="CV32">
        <v>115000</v>
      </c>
      <c r="CW32">
        <v>114500</v>
      </c>
      <c r="CX32">
        <v>113900</v>
      </c>
      <c r="CY32">
        <v>113200</v>
      </c>
      <c r="CZ32">
        <v>112600</v>
      </c>
      <c r="DA32">
        <v>112200</v>
      </c>
      <c r="DB32">
        <v>112000</v>
      </c>
      <c r="DC32">
        <v>111900</v>
      </c>
      <c r="DD32">
        <v>111800</v>
      </c>
      <c r="DE32">
        <v>111700</v>
      </c>
      <c r="DF32">
        <v>111400</v>
      </c>
      <c r="DG32">
        <v>111100</v>
      </c>
      <c r="DH32">
        <v>111000</v>
      </c>
      <c r="DI32">
        <v>110900</v>
      </c>
      <c r="DJ32">
        <v>110800</v>
      </c>
      <c r="DK32">
        <v>110500</v>
      </c>
      <c r="DL32">
        <v>110200</v>
      </c>
      <c r="DM32">
        <v>109800</v>
      </c>
      <c r="DN32">
        <v>109100</v>
      </c>
      <c r="DO32">
        <v>108500</v>
      </c>
      <c r="DP32">
        <v>108300</v>
      </c>
      <c r="DQ32">
        <v>108600</v>
      </c>
      <c r="DR32">
        <v>109400</v>
      </c>
      <c r="DS32">
        <v>110500</v>
      </c>
      <c r="DT32">
        <v>111600</v>
      </c>
      <c r="DU32">
        <v>112100</v>
      </c>
      <c r="DV32">
        <v>113500</v>
      </c>
      <c r="DW32">
        <v>115700</v>
      </c>
      <c r="DX32">
        <v>116900</v>
      </c>
      <c r="DY32">
        <v>117200</v>
      </c>
      <c r="DZ32">
        <v>117200</v>
      </c>
      <c r="EA32">
        <v>116400</v>
      </c>
      <c r="EB32">
        <v>116100</v>
      </c>
      <c r="EC32">
        <v>116200</v>
      </c>
      <c r="ED32">
        <v>115800</v>
      </c>
      <c r="EE32">
        <v>114700</v>
      </c>
      <c r="EF32">
        <v>113700</v>
      </c>
      <c r="EG32">
        <v>112900</v>
      </c>
      <c r="EH32">
        <v>112200</v>
      </c>
      <c r="EI32">
        <v>111400</v>
      </c>
      <c r="EJ32">
        <v>110800</v>
      </c>
      <c r="EK32">
        <v>110500</v>
      </c>
      <c r="EL32">
        <v>110600</v>
      </c>
      <c r="EM32">
        <v>110500</v>
      </c>
      <c r="EN32">
        <v>109200</v>
      </c>
      <c r="EO32">
        <v>107100</v>
      </c>
      <c r="EP32">
        <v>105700</v>
      </c>
      <c r="EQ32">
        <v>105200</v>
      </c>
      <c r="ER32">
        <v>105000</v>
      </c>
      <c r="ES32">
        <v>105000</v>
      </c>
      <c r="ET32">
        <v>104600</v>
      </c>
      <c r="EU32">
        <v>104200</v>
      </c>
      <c r="EV32">
        <v>104300</v>
      </c>
      <c r="EW32">
        <v>104300</v>
      </c>
      <c r="EX32">
        <v>103800</v>
      </c>
      <c r="EY32">
        <v>103400</v>
      </c>
      <c r="EZ32">
        <v>103000</v>
      </c>
      <c r="FA32">
        <v>102900</v>
      </c>
      <c r="FB32">
        <v>103000</v>
      </c>
      <c r="FC32">
        <v>102900</v>
      </c>
      <c r="FD32">
        <v>102400</v>
      </c>
      <c r="FE32">
        <v>102200</v>
      </c>
      <c r="FF32">
        <v>102200</v>
      </c>
      <c r="FG32">
        <v>102000</v>
      </c>
      <c r="FH32">
        <v>101500</v>
      </c>
      <c r="FI32">
        <v>101000</v>
      </c>
      <c r="FJ32">
        <v>100700</v>
      </c>
      <c r="FK32">
        <v>100400</v>
      </c>
      <c r="FL32">
        <v>100000</v>
      </c>
      <c r="FM32">
        <v>99500</v>
      </c>
      <c r="FN32">
        <v>99300</v>
      </c>
      <c r="FO32">
        <v>99100</v>
      </c>
      <c r="FP32">
        <v>99200</v>
      </c>
      <c r="FQ32">
        <v>98900</v>
      </c>
      <c r="FR32">
        <v>97900</v>
      </c>
      <c r="FS32">
        <v>96800</v>
      </c>
      <c r="FT32">
        <v>96300</v>
      </c>
      <c r="FU32">
        <v>96200</v>
      </c>
      <c r="FV32">
        <v>96500</v>
      </c>
      <c r="FW32">
        <v>97000</v>
      </c>
      <c r="FX32">
        <v>98000</v>
      </c>
      <c r="FY32">
        <v>98800</v>
      </c>
      <c r="FZ32">
        <v>99200</v>
      </c>
      <c r="GA32">
        <v>99700</v>
      </c>
      <c r="GB32">
        <v>100500</v>
      </c>
      <c r="GC32">
        <v>101200</v>
      </c>
      <c r="GD32">
        <v>101800</v>
      </c>
      <c r="GE32">
        <v>102200</v>
      </c>
      <c r="GF32">
        <v>102400</v>
      </c>
      <c r="GG32">
        <v>102700</v>
      </c>
      <c r="GH32">
        <v>103500</v>
      </c>
      <c r="GI32">
        <v>104500</v>
      </c>
      <c r="GJ32">
        <v>105200</v>
      </c>
      <c r="GK32">
        <v>105600</v>
      </c>
      <c r="GL32">
        <v>106100</v>
      </c>
      <c r="GM32">
        <v>106600</v>
      </c>
      <c r="GN32">
        <v>107100</v>
      </c>
      <c r="GO32">
        <v>107500</v>
      </c>
      <c r="GP32">
        <v>108000</v>
      </c>
      <c r="GQ32">
        <v>108700</v>
      </c>
      <c r="GR32">
        <v>109300</v>
      </c>
      <c r="GS32">
        <v>109800</v>
      </c>
      <c r="GT32">
        <v>110300</v>
      </c>
      <c r="GU32">
        <v>111100</v>
      </c>
      <c r="GV32">
        <v>112100</v>
      </c>
      <c r="GW32">
        <v>113100</v>
      </c>
      <c r="GX32">
        <v>114000</v>
      </c>
      <c r="GY32">
        <v>114700</v>
      </c>
      <c r="GZ32">
        <v>114900</v>
      </c>
      <c r="HA32">
        <v>114900</v>
      </c>
      <c r="HB32">
        <v>114800</v>
      </c>
      <c r="HC32">
        <v>114900</v>
      </c>
      <c r="HD32">
        <v>114800</v>
      </c>
      <c r="HE32">
        <v>114700</v>
      </c>
      <c r="HF32">
        <v>114900</v>
      </c>
      <c r="HG32">
        <v>115400</v>
      </c>
      <c r="HH32">
        <v>115700</v>
      </c>
      <c r="HI32">
        <v>116200</v>
      </c>
      <c r="HJ32">
        <v>116900</v>
      </c>
      <c r="HK32">
        <v>117000</v>
      </c>
      <c r="HL32">
        <v>116800</v>
      </c>
      <c r="HM32">
        <v>117100</v>
      </c>
      <c r="HN32">
        <v>117900</v>
      </c>
      <c r="HO32">
        <v>119200</v>
      </c>
      <c r="HP32">
        <v>121100</v>
      </c>
      <c r="HQ32">
        <v>122700</v>
      </c>
      <c r="HR32">
        <v>123200</v>
      </c>
      <c r="HS32">
        <v>123100</v>
      </c>
      <c r="HT32">
        <v>123200</v>
      </c>
    </row>
    <row r="33" spans="1:228" x14ac:dyDescent="0.3">
      <c r="A33">
        <v>6</v>
      </c>
      <c r="B33" t="s">
        <v>259</v>
      </c>
      <c r="C33">
        <v>32</v>
      </c>
      <c r="D33">
        <v>69700</v>
      </c>
      <c r="E33">
        <v>70000</v>
      </c>
      <c r="F33">
        <v>70400</v>
      </c>
      <c r="G33">
        <v>70800</v>
      </c>
      <c r="H33">
        <v>71100</v>
      </c>
      <c r="I33">
        <v>71300</v>
      </c>
      <c r="J33">
        <v>71500</v>
      </c>
      <c r="K33">
        <v>71700</v>
      </c>
      <c r="L33">
        <v>71800</v>
      </c>
      <c r="M33">
        <v>71900</v>
      </c>
      <c r="N33">
        <v>72100</v>
      </c>
      <c r="O33">
        <v>72400</v>
      </c>
      <c r="P33">
        <v>72700</v>
      </c>
      <c r="Q33">
        <v>73100</v>
      </c>
      <c r="R33">
        <v>73500</v>
      </c>
      <c r="S33">
        <v>73900</v>
      </c>
      <c r="T33">
        <v>74200</v>
      </c>
      <c r="U33">
        <v>74500</v>
      </c>
      <c r="V33">
        <v>74700</v>
      </c>
      <c r="W33">
        <v>74800</v>
      </c>
      <c r="X33">
        <v>74900</v>
      </c>
      <c r="Y33">
        <v>74900</v>
      </c>
      <c r="Z33">
        <v>74800</v>
      </c>
      <c r="AA33">
        <v>74800</v>
      </c>
      <c r="AB33">
        <v>74900</v>
      </c>
      <c r="AC33">
        <v>74900</v>
      </c>
      <c r="AD33">
        <v>75000</v>
      </c>
      <c r="AE33">
        <v>75200</v>
      </c>
      <c r="AF33">
        <v>75400</v>
      </c>
      <c r="AG33">
        <v>75700</v>
      </c>
      <c r="AH33">
        <v>76100</v>
      </c>
      <c r="AI33">
        <v>76600</v>
      </c>
      <c r="AJ33">
        <v>77200</v>
      </c>
      <c r="AK33">
        <v>77800</v>
      </c>
      <c r="AL33">
        <v>78500</v>
      </c>
      <c r="AM33">
        <v>79100</v>
      </c>
      <c r="AN33">
        <v>79400</v>
      </c>
      <c r="AO33">
        <v>79400</v>
      </c>
      <c r="AP33">
        <v>79400</v>
      </c>
      <c r="AQ33">
        <v>79500</v>
      </c>
      <c r="AR33">
        <v>79700</v>
      </c>
      <c r="AS33">
        <v>79900</v>
      </c>
      <c r="AT33">
        <v>80200</v>
      </c>
      <c r="AU33">
        <v>80500</v>
      </c>
      <c r="AV33">
        <v>80800</v>
      </c>
      <c r="AW33">
        <v>81100</v>
      </c>
      <c r="AX33">
        <v>81500</v>
      </c>
      <c r="AY33">
        <v>81800</v>
      </c>
      <c r="AZ33">
        <v>82300</v>
      </c>
      <c r="BA33">
        <v>82800</v>
      </c>
      <c r="BB33">
        <v>83300</v>
      </c>
      <c r="BC33">
        <v>83700</v>
      </c>
      <c r="BD33">
        <v>84200</v>
      </c>
      <c r="BE33">
        <v>84700</v>
      </c>
      <c r="BF33">
        <v>85200</v>
      </c>
      <c r="BG33">
        <v>85700</v>
      </c>
      <c r="BH33">
        <v>86200</v>
      </c>
      <c r="BI33">
        <v>86700</v>
      </c>
      <c r="BJ33">
        <v>87200</v>
      </c>
      <c r="BK33">
        <v>87900</v>
      </c>
      <c r="BL33">
        <v>88500</v>
      </c>
      <c r="BM33">
        <v>89300</v>
      </c>
      <c r="BN33">
        <v>90100</v>
      </c>
      <c r="BO33">
        <v>90800</v>
      </c>
      <c r="BP33">
        <v>91500</v>
      </c>
      <c r="BQ33">
        <v>92200</v>
      </c>
      <c r="BR33">
        <v>92900</v>
      </c>
      <c r="BS33">
        <v>93500</v>
      </c>
      <c r="BT33">
        <v>94200</v>
      </c>
      <c r="BU33">
        <v>94900</v>
      </c>
      <c r="BV33">
        <v>95600</v>
      </c>
      <c r="BW33">
        <v>96400</v>
      </c>
      <c r="BX33">
        <v>97100</v>
      </c>
      <c r="BY33">
        <v>97600</v>
      </c>
      <c r="BZ33">
        <v>98100</v>
      </c>
      <c r="CA33">
        <v>98600</v>
      </c>
      <c r="CB33">
        <v>99000</v>
      </c>
      <c r="CC33">
        <v>99500</v>
      </c>
      <c r="CD33">
        <v>100100</v>
      </c>
      <c r="CE33">
        <v>100700</v>
      </c>
      <c r="CF33">
        <v>101500</v>
      </c>
      <c r="CG33">
        <v>102100</v>
      </c>
      <c r="CH33">
        <v>102400</v>
      </c>
      <c r="CI33">
        <v>102400</v>
      </c>
      <c r="CJ33">
        <v>102200</v>
      </c>
      <c r="CK33">
        <v>102000</v>
      </c>
      <c r="CL33">
        <v>102000</v>
      </c>
      <c r="CM33">
        <v>102200</v>
      </c>
      <c r="CN33">
        <v>102400</v>
      </c>
      <c r="CO33">
        <v>102500</v>
      </c>
      <c r="CP33">
        <v>102600</v>
      </c>
      <c r="CQ33">
        <v>102700</v>
      </c>
      <c r="CR33">
        <v>102700</v>
      </c>
      <c r="CS33">
        <v>102700</v>
      </c>
      <c r="CT33">
        <v>102700</v>
      </c>
      <c r="CU33">
        <v>102800</v>
      </c>
      <c r="CV33">
        <v>102800</v>
      </c>
      <c r="CW33">
        <v>102800</v>
      </c>
      <c r="CX33">
        <v>102800</v>
      </c>
      <c r="CY33">
        <v>102800</v>
      </c>
      <c r="CZ33">
        <v>102600</v>
      </c>
      <c r="DA33">
        <v>102200</v>
      </c>
      <c r="DB33">
        <v>101800</v>
      </c>
      <c r="DC33">
        <v>101400</v>
      </c>
      <c r="DD33">
        <v>101000</v>
      </c>
      <c r="DE33">
        <v>100600</v>
      </c>
      <c r="DF33">
        <v>100200</v>
      </c>
      <c r="DG33">
        <v>100000</v>
      </c>
      <c r="DH33">
        <v>99800</v>
      </c>
      <c r="DI33">
        <v>99700</v>
      </c>
      <c r="DJ33">
        <v>99700</v>
      </c>
      <c r="DK33">
        <v>99700</v>
      </c>
      <c r="DL33">
        <v>99500</v>
      </c>
      <c r="DM33">
        <v>99300</v>
      </c>
      <c r="DN33">
        <v>99000</v>
      </c>
      <c r="DO33">
        <v>98700</v>
      </c>
      <c r="DP33">
        <v>98400</v>
      </c>
      <c r="DQ33">
        <v>98200</v>
      </c>
      <c r="DR33">
        <v>98100</v>
      </c>
      <c r="DS33">
        <v>98100</v>
      </c>
      <c r="DT33">
        <v>98200</v>
      </c>
      <c r="DU33">
        <v>98400</v>
      </c>
      <c r="DV33">
        <v>98200</v>
      </c>
      <c r="DW33">
        <v>97700</v>
      </c>
      <c r="DX33">
        <v>97500</v>
      </c>
      <c r="DY33">
        <v>97700</v>
      </c>
      <c r="DZ33">
        <v>97700</v>
      </c>
      <c r="EA33">
        <v>97400</v>
      </c>
      <c r="EB33">
        <v>96900</v>
      </c>
      <c r="EC33">
        <v>96600</v>
      </c>
      <c r="ED33">
        <v>96500</v>
      </c>
      <c r="EE33">
        <v>96000</v>
      </c>
      <c r="EF33">
        <v>95500</v>
      </c>
      <c r="EG33">
        <v>95100</v>
      </c>
      <c r="EH33">
        <v>95000</v>
      </c>
      <c r="EI33">
        <v>94900</v>
      </c>
      <c r="EJ33">
        <v>94700</v>
      </c>
      <c r="EK33">
        <v>94400</v>
      </c>
      <c r="EL33">
        <v>94000</v>
      </c>
      <c r="EM33">
        <v>93800</v>
      </c>
      <c r="EN33">
        <v>93800</v>
      </c>
      <c r="EO33">
        <v>94000</v>
      </c>
      <c r="EP33">
        <v>93900</v>
      </c>
      <c r="EQ33">
        <v>94000</v>
      </c>
      <c r="ER33">
        <v>94200</v>
      </c>
      <c r="ES33">
        <v>94100</v>
      </c>
      <c r="ET33">
        <v>93600</v>
      </c>
      <c r="EU33">
        <v>93300</v>
      </c>
      <c r="EV33">
        <v>93600</v>
      </c>
      <c r="EW33">
        <v>93800</v>
      </c>
      <c r="EX33">
        <v>93900</v>
      </c>
      <c r="EY33">
        <v>94100</v>
      </c>
      <c r="EZ33">
        <v>94200</v>
      </c>
      <c r="FA33">
        <v>94400</v>
      </c>
      <c r="FB33">
        <v>94600</v>
      </c>
      <c r="FC33">
        <v>94900</v>
      </c>
      <c r="FD33">
        <v>95200</v>
      </c>
      <c r="FE33">
        <v>95500</v>
      </c>
      <c r="FF33">
        <v>96100</v>
      </c>
      <c r="FG33">
        <v>96600</v>
      </c>
      <c r="FH33">
        <v>96800</v>
      </c>
      <c r="FI33">
        <v>97000</v>
      </c>
      <c r="FJ33">
        <v>97400</v>
      </c>
      <c r="FK33">
        <v>97800</v>
      </c>
      <c r="FL33">
        <v>98100</v>
      </c>
      <c r="FM33">
        <v>98300</v>
      </c>
      <c r="FN33">
        <v>98500</v>
      </c>
      <c r="FO33">
        <v>98700</v>
      </c>
      <c r="FP33">
        <v>98700</v>
      </c>
      <c r="FQ33">
        <v>98900</v>
      </c>
      <c r="FR33">
        <v>99300</v>
      </c>
      <c r="FS33">
        <v>99500</v>
      </c>
      <c r="FT33">
        <v>99400</v>
      </c>
      <c r="FU33">
        <v>99500</v>
      </c>
      <c r="FV33">
        <v>99800</v>
      </c>
      <c r="FW33">
        <v>100200</v>
      </c>
      <c r="FX33">
        <v>100600</v>
      </c>
      <c r="FY33">
        <v>100900</v>
      </c>
      <c r="FZ33">
        <v>101100</v>
      </c>
      <c r="GA33">
        <v>101500</v>
      </c>
      <c r="GB33">
        <v>101900</v>
      </c>
      <c r="GC33">
        <v>102000</v>
      </c>
      <c r="GD33">
        <v>102100</v>
      </c>
      <c r="GE33">
        <v>102300</v>
      </c>
      <c r="GF33">
        <v>102700</v>
      </c>
      <c r="GG33">
        <v>103200</v>
      </c>
      <c r="GH33">
        <v>103600</v>
      </c>
      <c r="GI33">
        <v>103900</v>
      </c>
      <c r="GJ33">
        <v>104300</v>
      </c>
      <c r="GK33">
        <v>104800</v>
      </c>
      <c r="GL33">
        <v>105400</v>
      </c>
      <c r="GM33">
        <v>106000</v>
      </c>
      <c r="GN33">
        <v>106400</v>
      </c>
      <c r="GO33">
        <v>106600</v>
      </c>
      <c r="GP33">
        <v>107100</v>
      </c>
      <c r="GQ33">
        <v>107800</v>
      </c>
      <c r="GR33">
        <v>108600</v>
      </c>
      <c r="GS33">
        <v>109200</v>
      </c>
      <c r="GT33">
        <v>109900</v>
      </c>
      <c r="GU33">
        <v>110400</v>
      </c>
      <c r="GV33">
        <v>111000</v>
      </c>
      <c r="GW33">
        <v>111800</v>
      </c>
      <c r="GX33">
        <v>112500</v>
      </c>
      <c r="GY33">
        <v>112900</v>
      </c>
      <c r="GZ33">
        <v>113200</v>
      </c>
      <c r="HA33">
        <v>113500</v>
      </c>
      <c r="HB33">
        <v>114100</v>
      </c>
      <c r="HC33">
        <v>114700</v>
      </c>
      <c r="HD33">
        <v>115100</v>
      </c>
      <c r="HE33">
        <v>115500</v>
      </c>
      <c r="HF33">
        <v>116000</v>
      </c>
      <c r="HG33">
        <v>116400</v>
      </c>
      <c r="HH33">
        <v>116600</v>
      </c>
      <c r="HI33">
        <v>116600</v>
      </c>
      <c r="HJ33">
        <v>116700</v>
      </c>
      <c r="HK33">
        <v>116900</v>
      </c>
      <c r="HL33">
        <v>117800</v>
      </c>
      <c r="HM33">
        <v>119000</v>
      </c>
      <c r="HN33">
        <v>120200</v>
      </c>
      <c r="HO33">
        <v>121100</v>
      </c>
      <c r="HP33">
        <v>121700</v>
      </c>
      <c r="HQ33">
        <v>121900</v>
      </c>
      <c r="HR33">
        <v>122000</v>
      </c>
      <c r="HS33">
        <v>122400</v>
      </c>
      <c r="HT33">
        <v>122800</v>
      </c>
    </row>
    <row r="34" spans="1:228" x14ac:dyDescent="0.3">
      <c r="A34">
        <v>23</v>
      </c>
      <c r="B34" t="s">
        <v>260</v>
      </c>
      <c r="C34">
        <v>33</v>
      </c>
      <c r="D34">
        <v>90200</v>
      </c>
      <c r="E34">
        <v>90400</v>
      </c>
      <c r="F34">
        <v>90700</v>
      </c>
      <c r="G34">
        <v>90900</v>
      </c>
      <c r="H34">
        <v>91000</v>
      </c>
      <c r="I34">
        <v>91300</v>
      </c>
      <c r="J34">
        <v>91500</v>
      </c>
      <c r="K34">
        <v>91700</v>
      </c>
      <c r="L34">
        <v>91800</v>
      </c>
      <c r="M34">
        <v>91900</v>
      </c>
      <c r="N34">
        <v>92000</v>
      </c>
      <c r="O34">
        <v>92100</v>
      </c>
      <c r="P34">
        <v>92300</v>
      </c>
      <c r="Q34">
        <v>92600</v>
      </c>
      <c r="R34">
        <v>93000</v>
      </c>
      <c r="S34">
        <v>93500</v>
      </c>
      <c r="T34">
        <v>94100</v>
      </c>
      <c r="U34">
        <v>94600</v>
      </c>
      <c r="V34">
        <v>95200</v>
      </c>
      <c r="W34">
        <v>95800</v>
      </c>
      <c r="X34">
        <v>96300</v>
      </c>
      <c r="Y34">
        <v>96800</v>
      </c>
      <c r="Z34">
        <v>97200</v>
      </c>
      <c r="AA34">
        <v>97600</v>
      </c>
      <c r="AB34">
        <v>98000</v>
      </c>
      <c r="AC34">
        <v>98300</v>
      </c>
      <c r="AD34">
        <v>98600</v>
      </c>
      <c r="AE34">
        <v>98700</v>
      </c>
      <c r="AF34">
        <v>98800</v>
      </c>
      <c r="AG34">
        <v>98700</v>
      </c>
      <c r="AH34">
        <v>98600</v>
      </c>
      <c r="AI34">
        <v>98500</v>
      </c>
      <c r="AJ34">
        <v>98400</v>
      </c>
      <c r="AK34">
        <v>98500</v>
      </c>
      <c r="AL34">
        <v>98900</v>
      </c>
      <c r="AM34">
        <v>99200</v>
      </c>
      <c r="AN34">
        <v>99500</v>
      </c>
      <c r="AO34">
        <v>99700</v>
      </c>
      <c r="AP34">
        <v>99800</v>
      </c>
      <c r="AQ34">
        <v>99800</v>
      </c>
      <c r="AR34">
        <v>99900</v>
      </c>
      <c r="AS34">
        <v>100300</v>
      </c>
      <c r="AT34">
        <v>100800</v>
      </c>
      <c r="AU34">
        <v>101300</v>
      </c>
      <c r="AV34">
        <v>101800</v>
      </c>
      <c r="AW34">
        <v>102100</v>
      </c>
      <c r="AX34">
        <v>102300</v>
      </c>
      <c r="AY34">
        <v>102500</v>
      </c>
      <c r="AZ34">
        <v>102700</v>
      </c>
      <c r="BA34">
        <v>103000</v>
      </c>
      <c r="BB34">
        <v>103400</v>
      </c>
      <c r="BC34">
        <v>103900</v>
      </c>
      <c r="BD34">
        <v>104500</v>
      </c>
      <c r="BE34">
        <v>105200</v>
      </c>
      <c r="BF34">
        <v>106000</v>
      </c>
      <c r="BG34">
        <v>106900</v>
      </c>
      <c r="BH34">
        <v>107900</v>
      </c>
      <c r="BI34">
        <v>109100</v>
      </c>
      <c r="BJ34">
        <v>110300</v>
      </c>
      <c r="BK34">
        <v>111400</v>
      </c>
      <c r="BL34">
        <v>112300</v>
      </c>
      <c r="BM34">
        <v>113000</v>
      </c>
      <c r="BN34">
        <v>113500</v>
      </c>
      <c r="BO34">
        <v>113900</v>
      </c>
      <c r="BP34">
        <v>113800</v>
      </c>
      <c r="BQ34">
        <v>113500</v>
      </c>
      <c r="BR34">
        <v>113100</v>
      </c>
      <c r="BS34">
        <v>112600</v>
      </c>
      <c r="BT34">
        <v>112300</v>
      </c>
      <c r="BU34">
        <v>112100</v>
      </c>
      <c r="BV34">
        <v>112000</v>
      </c>
      <c r="BW34">
        <v>111900</v>
      </c>
      <c r="BX34">
        <v>112000</v>
      </c>
      <c r="BY34">
        <v>112200</v>
      </c>
      <c r="BZ34">
        <v>112300</v>
      </c>
      <c r="CA34">
        <v>112500</v>
      </c>
      <c r="CB34">
        <v>112700</v>
      </c>
      <c r="CC34">
        <v>113000</v>
      </c>
      <c r="CD34">
        <v>113400</v>
      </c>
      <c r="CE34">
        <v>113800</v>
      </c>
      <c r="CF34">
        <v>114200</v>
      </c>
      <c r="CG34">
        <v>114600</v>
      </c>
      <c r="CH34">
        <v>114900</v>
      </c>
      <c r="CI34">
        <v>115100</v>
      </c>
      <c r="CJ34">
        <v>115400</v>
      </c>
      <c r="CK34">
        <v>115700</v>
      </c>
      <c r="CL34">
        <v>116100</v>
      </c>
      <c r="CM34">
        <v>116600</v>
      </c>
      <c r="CN34">
        <v>117300</v>
      </c>
      <c r="CO34">
        <v>117900</v>
      </c>
      <c r="CP34">
        <v>118500</v>
      </c>
      <c r="CQ34">
        <v>119000</v>
      </c>
      <c r="CR34">
        <v>119400</v>
      </c>
      <c r="CS34">
        <v>119500</v>
      </c>
      <c r="CT34">
        <v>119400</v>
      </c>
      <c r="CU34">
        <v>119100</v>
      </c>
      <c r="CV34">
        <v>118900</v>
      </c>
      <c r="CW34">
        <v>118700</v>
      </c>
      <c r="CX34">
        <v>118500</v>
      </c>
      <c r="CY34">
        <v>118300</v>
      </c>
      <c r="CZ34">
        <v>118000</v>
      </c>
      <c r="DA34">
        <v>117700</v>
      </c>
      <c r="DB34">
        <v>117500</v>
      </c>
      <c r="DC34">
        <v>117200</v>
      </c>
      <c r="DD34">
        <v>117000</v>
      </c>
      <c r="DE34">
        <v>116800</v>
      </c>
      <c r="DF34">
        <v>116600</v>
      </c>
      <c r="DG34">
        <v>116500</v>
      </c>
      <c r="DH34">
        <v>116500</v>
      </c>
      <c r="DI34">
        <v>116400</v>
      </c>
      <c r="DJ34">
        <v>116400</v>
      </c>
      <c r="DK34">
        <v>116400</v>
      </c>
      <c r="DL34">
        <v>116300</v>
      </c>
      <c r="DM34">
        <v>116100</v>
      </c>
      <c r="DN34">
        <v>115800</v>
      </c>
      <c r="DO34">
        <v>115500</v>
      </c>
      <c r="DP34">
        <v>115300</v>
      </c>
      <c r="DQ34">
        <v>115100</v>
      </c>
      <c r="DR34">
        <v>115000</v>
      </c>
      <c r="DS34">
        <v>114900</v>
      </c>
      <c r="DT34">
        <v>114900</v>
      </c>
      <c r="DU34">
        <v>115000</v>
      </c>
      <c r="DV34">
        <v>115000</v>
      </c>
      <c r="DW34">
        <v>114800</v>
      </c>
      <c r="DX34">
        <v>114700</v>
      </c>
      <c r="DY34">
        <v>114800</v>
      </c>
      <c r="DZ34">
        <v>114800</v>
      </c>
      <c r="EA34">
        <v>114500</v>
      </c>
      <c r="EB34">
        <v>114100</v>
      </c>
      <c r="EC34">
        <v>113900</v>
      </c>
      <c r="ED34">
        <v>113600</v>
      </c>
      <c r="EE34">
        <v>113300</v>
      </c>
      <c r="EF34">
        <v>112900</v>
      </c>
      <c r="EG34">
        <v>112400</v>
      </c>
      <c r="EH34">
        <v>111600</v>
      </c>
      <c r="EI34">
        <v>110900</v>
      </c>
      <c r="EJ34">
        <v>110500</v>
      </c>
      <c r="EK34">
        <v>110100</v>
      </c>
      <c r="EL34">
        <v>109500</v>
      </c>
      <c r="EM34">
        <v>109300</v>
      </c>
      <c r="EN34">
        <v>109300</v>
      </c>
      <c r="EO34">
        <v>109100</v>
      </c>
      <c r="EP34">
        <v>108900</v>
      </c>
      <c r="EQ34">
        <v>108700</v>
      </c>
      <c r="ER34">
        <v>108500</v>
      </c>
      <c r="ES34">
        <v>108500</v>
      </c>
      <c r="ET34">
        <v>108600</v>
      </c>
      <c r="EU34">
        <v>108700</v>
      </c>
      <c r="EV34">
        <v>108600</v>
      </c>
      <c r="EW34">
        <v>108700</v>
      </c>
      <c r="EX34">
        <v>108800</v>
      </c>
      <c r="EY34">
        <v>108900</v>
      </c>
      <c r="EZ34">
        <v>108800</v>
      </c>
      <c r="FA34">
        <v>108700</v>
      </c>
      <c r="FB34">
        <v>108800</v>
      </c>
      <c r="FC34">
        <v>108900</v>
      </c>
      <c r="FD34">
        <v>109000</v>
      </c>
      <c r="FE34">
        <v>109000</v>
      </c>
      <c r="FF34">
        <v>108800</v>
      </c>
      <c r="FG34">
        <v>108800</v>
      </c>
      <c r="FH34">
        <v>109000</v>
      </c>
      <c r="FI34">
        <v>109100</v>
      </c>
      <c r="FJ34">
        <v>109400</v>
      </c>
      <c r="FK34">
        <v>109600</v>
      </c>
      <c r="FL34">
        <v>109800</v>
      </c>
      <c r="FM34">
        <v>110000</v>
      </c>
      <c r="FN34">
        <v>110400</v>
      </c>
      <c r="FO34">
        <v>110800</v>
      </c>
      <c r="FP34">
        <v>111000</v>
      </c>
      <c r="FQ34">
        <v>111300</v>
      </c>
      <c r="FR34">
        <v>111600</v>
      </c>
      <c r="FS34">
        <v>111900</v>
      </c>
      <c r="FT34">
        <v>112000</v>
      </c>
      <c r="FU34">
        <v>112100</v>
      </c>
      <c r="FV34">
        <v>112400</v>
      </c>
      <c r="FW34">
        <v>112600</v>
      </c>
      <c r="FX34">
        <v>112800</v>
      </c>
      <c r="FY34">
        <v>113000</v>
      </c>
      <c r="FZ34">
        <v>113400</v>
      </c>
      <c r="GA34">
        <v>113800</v>
      </c>
      <c r="GB34">
        <v>114100</v>
      </c>
      <c r="GC34">
        <v>114300</v>
      </c>
      <c r="GD34">
        <v>114800</v>
      </c>
      <c r="GE34">
        <v>115200</v>
      </c>
      <c r="GF34">
        <v>115300</v>
      </c>
      <c r="GG34">
        <v>115500</v>
      </c>
      <c r="GH34">
        <v>115700</v>
      </c>
      <c r="GI34">
        <v>115800</v>
      </c>
      <c r="GJ34">
        <v>116100</v>
      </c>
      <c r="GK34">
        <v>116500</v>
      </c>
      <c r="GL34">
        <v>116700</v>
      </c>
      <c r="GM34">
        <v>117000</v>
      </c>
      <c r="GN34">
        <v>117500</v>
      </c>
      <c r="GO34">
        <v>118200</v>
      </c>
      <c r="GP34">
        <v>118800</v>
      </c>
      <c r="GQ34">
        <v>119400</v>
      </c>
      <c r="GR34">
        <v>120000</v>
      </c>
      <c r="GS34">
        <v>120600</v>
      </c>
      <c r="GT34">
        <v>121300</v>
      </c>
      <c r="GU34">
        <v>122200</v>
      </c>
      <c r="GV34">
        <v>123000</v>
      </c>
      <c r="GW34">
        <v>123600</v>
      </c>
      <c r="GX34">
        <v>124200</v>
      </c>
      <c r="GY34">
        <v>124700</v>
      </c>
      <c r="GZ34">
        <v>125300</v>
      </c>
      <c r="HA34">
        <v>126100</v>
      </c>
      <c r="HB34">
        <v>127000</v>
      </c>
      <c r="HC34">
        <v>127900</v>
      </c>
      <c r="HD34">
        <v>128600</v>
      </c>
      <c r="HE34">
        <v>129000</v>
      </c>
      <c r="HF34">
        <v>129300</v>
      </c>
      <c r="HG34">
        <v>129600</v>
      </c>
      <c r="HH34">
        <v>130000</v>
      </c>
      <c r="HI34">
        <v>130600</v>
      </c>
      <c r="HJ34">
        <v>131100</v>
      </c>
      <c r="HK34">
        <v>131400</v>
      </c>
      <c r="HL34">
        <v>131600</v>
      </c>
      <c r="HM34">
        <v>131800</v>
      </c>
      <c r="HN34">
        <v>131900</v>
      </c>
      <c r="HO34">
        <v>132500</v>
      </c>
      <c r="HP34">
        <v>133600</v>
      </c>
      <c r="HQ34">
        <v>134500</v>
      </c>
      <c r="HR34">
        <v>135300</v>
      </c>
      <c r="HS34">
        <v>136200</v>
      </c>
      <c r="HT34">
        <v>136800</v>
      </c>
    </row>
    <row r="35" spans="1:228" x14ac:dyDescent="0.3">
      <c r="A35">
        <v>55</v>
      </c>
      <c r="B35" t="s">
        <v>261</v>
      </c>
      <c r="C35">
        <v>34</v>
      </c>
      <c r="D35">
        <v>154600</v>
      </c>
      <c r="E35">
        <v>155400</v>
      </c>
      <c r="F35">
        <v>156300</v>
      </c>
      <c r="G35">
        <v>157300</v>
      </c>
      <c r="H35">
        <v>158300</v>
      </c>
      <c r="I35">
        <v>159300</v>
      </c>
      <c r="J35">
        <v>160300</v>
      </c>
      <c r="K35">
        <v>161100</v>
      </c>
      <c r="L35">
        <v>161800</v>
      </c>
      <c r="M35">
        <v>162400</v>
      </c>
      <c r="N35">
        <v>162900</v>
      </c>
      <c r="O35">
        <v>163300</v>
      </c>
      <c r="P35">
        <v>163500</v>
      </c>
      <c r="Q35">
        <v>163700</v>
      </c>
      <c r="R35">
        <v>163800</v>
      </c>
      <c r="S35">
        <v>163800</v>
      </c>
      <c r="T35">
        <v>163800</v>
      </c>
      <c r="U35">
        <v>163800</v>
      </c>
      <c r="V35">
        <v>163900</v>
      </c>
      <c r="W35">
        <v>164100</v>
      </c>
      <c r="X35">
        <v>164400</v>
      </c>
      <c r="Y35">
        <v>164800</v>
      </c>
      <c r="Z35">
        <v>165100</v>
      </c>
      <c r="AA35">
        <v>165300</v>
      </c>
      <c r="AB35">
        <v>165500</v>
      </c>
      <c r="AC35">
        <v>165700</v>
      </c>
      <c r="AD35">
        <v>165800</v>
      </c>
      <c r="AE35">
        <v>165800</v>
      </c>
      <c r="AF35">
        <v>165700</v>
      </c>
      <c r="AG35">
        <v>165500</v>
      </c>
      <c r="AH35">
        <v>165300</v>
      </c>
      <c r="AI35">
        <v>165200</v>
      </c>
      <c r="AJ35">
        <v>165000</v>
      </c>
      <c r="AK35">
        <v>165000</v>
      </c>
      <c r="AL35">
        <v>165100</v>
      </c>
      <c r="AM35">
        <v>165400</v>
      </c>
      <c r="AN35">
        <v>165700</v>
      </c>
      <c r="AO35">
        <v>166200</v>
      </c>
      <c r="AP35">
        <v>166700</v>
      </c>
      <c r="AQ35">
        <v>167400</v>
      </c>
      <c r="AR35">
        <v>168000</v>
      </c>
      <c r="AS35">
        <v>168600</v>
      </c>
      <c r="AT35">
        <v>169100</v>
      </c>
      <c r="AU35">
        <v>169400</v>
      </c>
      <c r="AV35">
        <v>169500</v>
      </c>
      <c r="AW35">
        <v>169600</v>
      </c>
      <c r="AX35">
        <v>169700</v>
      </c>
      <c r="AY35">
        <v>169700</v>
      </c>
      <c r="AZ35">
        <v>169700</v>
      </c>
      <c r="BA35">
        <v>169500</v>
      </c>
      <c r="BB35">
        <v>169200</v>
      </c>
      <c r="BC35">
        <v>168800</v>
      </c>
      <c r="BD35">
        <v>168400</v>
      </c>
      <c r="BE35">
        <v>168100</v>
      </c>
      <c r="BF35">
        <v>167900</v>
      </c>
      <c r="BG35">
        <v>167800</v>
      </c>
      <c r="BH35">
        <v>167900</v>
      </c>
      <c r="BI35">
        <v>168100</v>
      </c>
      <c r="BJ35">
        <v>168500</v>
      </c>
      <c r="BK35">
        <v>169000</v>
      </c>
      <c r="BL35">
        <v>169700</v>
      </c>
      <c r="BM35">
        <v>170500</v>
      </c>
      <c r="BN35">
        <v>171400</v>
      </c>
      <c r="BO35">
        <v>172200</v>
      </c>
      <c r="BP35">
        <v>173000</v>
      </c>
      <c r="BQ35">
        <v>173800</v>
      </c>
      <c r="BR35">
        <v>174600</v>
      </c>
      <c r="BS35">
        <v>175700</v>
      </c>
      <c r="BT35">
        <v>176900</v>
      </c>
      <c r="BU35">
        <v>178200</v>
      </c>
      <c r="BV35">
        <v>179600</v>
      </c>
      <c r="BW35">
        <v>181000</v>
      </c>
      <c r="BX35">
        <v>182400</v>
      </c>
      <c r="BY35">
        <v>184000</v>
      </c>
      <c r="BZ35">
        <v>185800</v>
      </c>
      <c r="CA35">
        <v>188000</v>
      </c>
      <c r="CB35">
        <v>190500</v>
      </c>
      <c r="CC35">
        <v>193200</v>
      </c>
      <c r="CD35">
        <v>196400</v>
      </c>
      <c r="CE35">
        <v>199900</v>
      </c>
      <c r="CF35">
        <v>203300</v>
      </c>
      <c r="CG35">
        <v>206500</v>
      </c>
      <c r="CH35">
        <v>209500</v>
      </c>
      <c r="CI35">
        <v>212400</v>
      </c>
      <c r="CJ35">
        <v>215200</v>
      </c>
      <c r="CK35">
        <v>217800</v>
      </c>
      <c r="CL35">
        <v>220600</v>
      </c>
      <c r="CM35">
        <v>223500</v>
      </c>
      <c r="CN35">
        <v>226500</v>
      </c>
      <c r="CO35">
        <v>229500</v>
      </c>
      <c r="CP35">
        <v>232600</v>
      </c>
      <c r="CQ35">
        <v>235600</v>
      </c>
      <c r="CR35">
        <v>238200</v>
      </c>
      <c r="CS35">
        <v>240400</v>
      </c>
      <c r="CT35">
        <v>242200</v>
      </c>
      <c r="CU35">
        <v>243500</v>
      </c>
      <c r="CV35">
        <v>244500</v>
      </c>
      <c r="CW35">
        <v>245100</v>
      </c>
      <c r="CX35">
        <v>245700</v>
      </c>
      <c r="CY35">
        <v>246100</v>
      </c>
      <c r="CZ35">
        <v>246100</v>
      </c>
      <c r="DA35">
        <v>245600</v>
      </c>
      <c r="DB35">
        <v>244700</v>
      </c>
      <c r="DC35">
        <v>243400</v>
      </c>
      <c r="DD35">
        <v>241900</v>
      </c>
      <c r="DE35">
        <v>240600</v>
      </c>
      <c r="DF35">
        <v>239300</v>
      </c>
      <c r="DG35">
        <v>238000</v>
      </c>
      <c r="DH35">
        <v>236800</v>
      </c>
      <c r="DI35">
        <v>235600</v>
      </c>
      <c r="DJ35">
        <v>234300</v>
      </c>
      <c r="DK35">
        <v>233000</v>
      </c>
      <c r="DL35">
        <v>231400</v>
      </c>
      <c r="DM35">
        <v>229400</v>
      </c>
      <c r="DN35">
        <v>227000</v>
      </c>
      <c r="DO35">
        <v>224600</v>
      </c>
      <c r="DP35">
        <v>222500</v>
      </c>
      <c r="DQ35">
        <v>220800</v>
      </c>
      <c r="DR35">
        <v>219400</v>
      </c>
      <c r="DS35">
        <v>218500</v>
      </c>
      <c r="DT35">
        <v>218200</v>
      </c>
      <c r="DU35">
        <v>218300</v>
      </c>
      <c r="DV35">
        <v>217500</v>
      </c>
      <c r="DW35">
        <v>215500</v>
      </c>
      <c r="DX35">
        <v>213500</v>
      </c>
      <c r="DY35">
        <v>212400</v>
      </c>
      <c r="DZ35">
        <v>211100</v>
      </c>
      <c r="EA35">
        <v>209700</v>
      </c>
      <c r="EB35">
        <v>208400</v>
      </c>
      <c r="EC35">
        <v>207100</v>
      </c>
      <c r="ED35">
        <v>205600</v>
      </c>
      <c r="EE35">
        <v>203700</v>
      </c>
      <c r="EF35">
        <v>201600</v>
      </c>
      <c r="EG35">
        <v>199700</v>
      </c>
      <c r="EH35">
        <v>198400</v>
      </c>
      <c r="EI35">
        <v>196900</v>
      </c>
      <c r="EJ35">
        <v>195800</v>
      </c>
      <c r="EK35">
        <v>195200</v>
      </c>
      <c r="EL35">
        <v>194900</v>
      </c>
      <c r="EM35">
        <v>194400</v>
      </c>
      <c r="EN35">
        <v>193600</v>
      </c>
      <c r="EO35">
        <v>193200</v>
      </c>
      <c r="EP35">
        <v>193300</v>
      </c>
      <c r="EQ35">
        <v>193500</v>
      </c>
      <c r="ER35">
        <v>193200</v>
      </c>
      <c r="ES35">
        <v>192400</v>
      </c>
      <c r="ET35">
        <v>192000</v>
      </c>
      <c r="EU35">
        <v>192600</v>
      </c>
      <c r="EV35">
        <v>193500</v>
      </c>
      <c r="EW35">
        <v>193800</v>
      </c>
      <c r="EX35">
        <v>193900</v>
      </c>
      <c r="EY35">
        <v>194500</v>
      </c>
      <c r="EZ35">
        <v>195400</v>
      </c>
      <c r="FA35">
        <v>196100</v>
      </c>
      <c r="FB35">
        <v>196900</v>
      </c>
      <c r="FC35">
        <v>198200</v>
      </c>
      <c r="FD35">
        <v>199900</v>
      </c>
      <c r="FE35">
        <v>201500</v>
      </c>
      <c r="FF35">
        <v>203100</v>
      </c>
      <c r="FG35">
        <v>204900</v>
      </c>
      <c r="FH35">
        <v>206800</v>
      </c>
      <c r="FI35">
        <v>208700</v>
      </c>
      <c r="FJ35">
        <v>210800</v>
      </c>
      <c r="FK35">
        <v>212700</v>
      </c>
      <c r="FL35">
        <v>214300</v>
      </c>
      <c r="FM35">
        <v>215400</v>
      </c>
      <c r="FN35">
        <v>216400</v>
      </c>
      <c r="FO35">
        <v>217500</v>
      </c>
      <c r="FP35">
        <v>218800</v>
      </c>
      <c r="FQ35">
        <v>220100</v>
      </c>
      <c r="FR35">
        <v>221200</v>
      </c>
      <c r="FS35">
        <v>221800</v>
      </c>
      <c r="FT35">
        <v>222200</v>
      </c>
      <c r="FU35">
        <v>222600</v>
      </c>
      <c r="FV35">
        <v>223100</v>
      </c>
      <c r="FW35">
        <v>224100</v>
      </c>
      <c r="FX35">
        <v>225400</v>
      </c>
      <c r="FY35">
        <v>227000</v>
      </c>
      <c r="FZ35">
        <v>228600</v>
      </c>
      <c r="GA35">
        <v>229700</v>
      </c>
      <c r="GB35">
        <v>230300</v>
      </c>
      <c r="GC35">
        <v>230800</v>
      </c>
      <c r="GD35">
        <v>231900</v>
      </c>
      <c r="GE35">
        <v>233200</v>
      </c>
      <c r="GF35">
        <v>234200</v>
      </c>
      <c r="GG35">
        <v>235200</v>
      </c>
      <c r="GH35">
        <v>236500</v>
      </c>
      <c r="GI35">
        <v>237900</v>
      </c>
      <c r="GJ35">
        <v>239400</v>
      </c>
      <c r="GK35">
        <v>241300</v>
      </c>
      <c r="GL35">
        <v>243000</v>
      </c>
      <c r="GM35">
        <v>244400</v>
      </c>
      <c r="GN35">
        <v>245800</v>
      </c>
      <c r="GO35">
        <v>247400</v>
      </c>
      <c r="GP35">
        <v>249100</v>
      </c>
      <c r="GQ35">
        <v>251000</v>
      </c>
      <c r="GR35">
        <v>252700</v>
      </c>
      <c r="GS35">
        <v>254100</v>
      </c>
      <c r="GT35">
        <v>255500</v>
      </c>
      <c r="GU35">
        <v>257100</v>
      </c>
      <c r="GV35">
        <v>258900</v>
      </c>
      <c r="GW35">
        <v>261000</v>
      </c>
      <c r="GX35">
        <v>263100</v>
      </c>
      <c r="GY35">
        <v>265000</v>
      </c>
      <c r="GZ35">
        <v>266900</v>
      </c>
      <c r="HA35">
        <v>268700</v>
      </c>
      <c r="HB35">
        <v>270700</v>
      </c>
      <c r="HC35">
        <v>273100</v>
      </c>
      <c r="HD35">
        <v>275400</v>
      </c>
      <c r="HE35">
        <v>277400</v>
      </c>
      <c r="HF35">
        <v>279700</v>
      </c>
      <c r="HG35">
        <v>282200</v>
      </c>
      <c r="HH35">
        <v>284100</v>
      </c>
      <c r="HI35">
        <v>285800</v>
      </c>
      <c r="HJ35">
        <v>288400</v>
      </c>
      <c r="HK35">
        <v>291300</v>
      </c>
      <c r="HL35">
        <v>294500</v>
      </c>
      <c r="HM35">
        <v>297900</v>
      </c>
      <c r="HN35">
        <v>300800</v>
      </c>
      <c r="HO35">
        <v>303500</v>
      </c>
      <c r="HP35">
        <v>307300</v>
      </c>
      <c r="HQ35">
        <v>311300</v>
      </c>
      <c r="HR35">
        <v>314700</v>
      </c>
      <c r="HS35">
        <v>318100</v>
      </c>
      <c r="HT35">
        <v>320900</v>
      </c>
    </row>
    <row r="36" spans="1:228" x14ac:dyDescent="0.3">
      <c r="A36">
        <v>42</v>
      </c>
      <c r="B36" t="s">
        <v>262</v>
      </c>
      <c r="C36">
        <v>35</v>
      </c>
      <c r="D36">
        <v>140500</v>
      </c>
      <c r="E36">
        <v>141100</v>
      </c>
      <c r="F36">
        <v>141500</v>
      </c>
      <c r="G36">
        <v>142000</v>
      </c>
      <c r="H36">
        <v>142400</v>
      </c>
      <c r="I36">
        <v>142800</v>
      </c>
      <c r="J36">
        <v>143300</v>
      </c>
      <c r="K36">
        <v>143700</v>
      </c>
      <c r="L36">
        <v>144100</v>
      </c>
      <c r="M36">
        <v>144700</v>
      </c>
      <c r="N36">
        <v>145300</v>
      </c>
      <c r="O36">
        <v>146000</v>
      </c>
      <c r="P36">
        <v>146800</v>
      </c>
      <c r="Q36">
        <v>147600</v>
      </c>
      <c r="R36">
        <v>148300</v>
      </c>
      <c r="S36">
        <v>149000</v>
      </c>
      <c r="T36">
        <v>149800</v>
      </c>
      <c r="U36">
        <v>150600</v>
      </c>
      <c r="V36">
        <v>151400</v>
      </c>
      <c r="W36">
        <v>152200</v>
      </c>
      <c r="X36">
        <v>153200</v>
      </c>
      <c r="Y36">
        <v>154200</v>
      </c>
      <c r="Z36">
        <v>155300</v>
      </c>
      <c r="AA36">
        <v>156600</v>
      </c>
      <c r="AB36">
        <v>157900</v>
      </c>
      <c r="AC36">
        <v>159100</v>
      </c>
      <c r="AD36">
        <v>160200</v>
      </c>
      <c r="AE36">
        <v>161100</v>
      </c>
      <c r="AF36">
        <v>162000</v>
      </c>
      <c r="AG36">
        <v>162700</v>
      </c>
      <c r="AH36">
        <v>163200</v>
      </c>
      <c r="AI36">
        <v>163800</v>
      </c>
      <c r="AJ36">
        <v>164400</v>
      </c>
      <c r="AK36">
        <v>165200</v>
      </c>
      <c r="AL36">
        <v>166100</v>
      </c>
      <c r="AM36">
        <v>167200</v>
      </c>
      <c r="AN36">
        <v>168400</v>
      </c>
      <c r="AO36">
        <v>169700</v>
      </c>
      <c r="AP36">
        <v>171000</v>
      </c>
      <c r="AQ36">
        <v>172600</v>
      </c>
      <c r="AR36">
        <v>174300</v>
      </c>
      <c r="AS36">
        <v>176400</v>
      </c>
      <c r="AT36">
        <v>178700</v>
      </c>
      <c r="AU36">
        <v>181500</v>
      </c>
      <c r="AV36">
        <v>184800</v>
      </c>
      <c r="AW36">
        <v>188600</v>
      </c>
      <c r="AX36">
        <v>193000</v>
      </c>
      <c r="AY36">
        <v>197900</v>
      </c>
      <c r="AZ36">
        <v>203100</v>
      </c>
      <c r="BA36">
        <v>208700</v>
      </c>
      <c r="BB36">
        <v>214900</v>
      </c>
      <c r="BC36">
        <v>221700</v>
      </c>
      <c r="BD36">
        <v>229300</v>
      </c>
      <c r="BE36">
        <v>237700</v>
      </c>
      <c r="BF36">
        <v>246500</v>
      </c>
      <c r="BG36">
        <v>255100</v>
      </c>
      <c r="BH36">
        <v>263100</v>
      </c>
      <c r="BI36">
        <v>270000</v>
      </c>
      <c r="BJ36">
        <v>275800</v>
      </c>
      <c r="BK36">
        <v>280800</v>
      </c>
      <c r="BL36">
        <v>285300</v>
      </c>
      <c r="BM36">
        <v>289500</v>
      </c>
      <c r="BN36">
        <v>293500</v>
      </c>
      <c r="BO36">
        <v>297400</v>
      </c>
      <c r="BP36">
        <v>300600</v>
      </c>
      <c r="BQ36">
        <v>303200</v>
      </c>
      <c r="BR36">
        <v>305400</v>
      </c>
      <c r="BS36">
        <v>307100</v>
      </c>
      <c r="BT36">
        <v>308700</v>
      </c>
      <c r="BU36">
        <v>310200</v>
      </c>
      <c r="BV36">
        <v>311600</v>
      </c>
      <c r="BW36">
        <v>312900</v>
      </c>
      <c r="BX36">
        <v>314100</v>
      </c>
      <c r="BY36">
        <v>315300</v>
      </c>
      <c r="BZ36">
        <v>316700</v>
      </c>
      <c r="CA36">
        <v>318100</v>
      </c>
      <c r="CB36">
        <v>319000</v>
      </c>
      <c r="CC36">
        <v>319100</v>
      </c>
      <c r="CD36">
        <v>318400</v>
      </c>
      <c r="CE36">
        <v>317000</v>
      </c>
      <c r="CF36">
        <v>315100</v>
      </c>
      <c r="CG36">
        <v>312900</v>
      </c>
      <c r="CH36">
        <v>310400</v>
      </c>
      <c r="CI36">
        <v>307900</v>
      </c>
      <c r="CJ36">
        <v>305600</v>
      </c>
      <c r="CK36">
        <v>303000</v>
      </c>
      <c r="CL36">
        <v>300300</v>
      </c>
      <c r="CM36">
        <v>297700</v>
      </c>
      <c r="CN36">
        <v>294900</v>
      </c>
      <c r="CO36">
        <v>291900</v>
      </c>
      <c r="CP36">
        <v>288800</v>
      </c>
      <c r="CQ36">
        <v>285400</v>
      </c>
      <c r="CR36">
        <v>281800</v>
      </c>
      <c r="CS36">
        <v>277900</v>
      </c>
      <c r="CT36">
        <v>273400</v>
      </c>
      <c r="CU36">
        <v>268100</v>
      </c>
      <c r="CV36">
        <v>262100</v>
      </c>
      <c r="CW36">
        <v>255900</v>
      </c>
      <c r="CX36">
        <v>249900</v>
      </c>
      <c r="CY36">
        <v>244200</v>
      </c>
      <c r="CZ36">
        <v>238600</v>
      </c>
      <c r="DA36">
        <v>232700</v>
      </c>
      <c r="DB36">
        <v>226800</v>
      </c>
      <c r="DC36">
        <v>221400</v>
      </c>
      <c r="DD36">
        <v>216300</v>
      </c>
      <c r="DE36">
        <v>211400</v>
      </c>
      <c r="DF36">
        <v>206500</v>
      </c>
      <c r="DG36">
        <v>201600</v>
      </c>
      <c r="DH36">
        <v>196700</v>
      </c>
      <c r="DI36">
        <v>191600</v>
      </c>
      <c r="DJ36">
        <v>186400</v>
      </c>
      <c r="DK36">
        <v>181100</v>
      </c>
      <c r="DL36">
        <v>175800</v>
      </c>
      <c r="DM36">
        <v>170500</v>
      </c>
      <c r="DN36">
        <v>165800</v>
      </c>
      <c r="DO36">
        <v>162000</v>
      </c>
      <c r="DP36">
        <v>159000</v>
      </c>
      <c r="DQ36">
        <v>156700</v>
      </c>
      <c r="DR36">
        <v>155000</v>
      </c>
      <c r="DS36">
        <v>154000</v>
      </c>
      <c r="DT36">
        <v>153400</v>
      </c>
      <c r="DU36">
        <v>153400</v>
      </c>
      <c r="DV36">
        <v>152700</v>
      </c>
      <c r="DW36">
        <v>151000</v>
      </c>
      <c r="DX36">
        <v>149700</v>
      </c>
      <c r="DY36">
        <v>149300</v>
      </c>
      <c r="DZ36">
        <v>148300</v>
      </c>
      <c r="EA36">
        <v>146800</v>
      </c>
      <c r="EB36">
        <v>145400</v>
      </c>
      <c r="EC36">
        <v>143800</v>
      </c>
      <c r="ED36">
        <v>142300</v>
      </c>
      <c r="EE36">
        <v>140900</v>
      </c>
      <c r="EF36">
        <v>139200</v>
      </c>
      <c r="EG36">
        <v>137800</v>
      </c>
      <c r="EH36">
        <v>136500</v>
      </c>
      <c r="EI36">
        <v>135100</v>
      </c>
      <c r="EJ36">
        <v>133300</v>
      </c>
      <c r="EK36">
        <v>131700</v>
      </c>
      <c r="EL36">
        <v>130600</v>
      </c>
      <c r="EM36">
        <v>129700</v>
      </c>
      <c r="EN36">
        <v>128600</v>
      </c>
      <c r="EO36">
        <v>127900</v>
      </c>
      <c r="EP36">
        <v>127300</v>
      </c>
      <c r="EQ36">
        <v>126800</v>
      </c>
      <c r="ER36">
        <v>127100</v>
      </c>
      <c r="ES36">
        <v>127400</v>
      </c>
      <c r="ET36">
        <v>127800</v>
      </c>
      <c r="EU36">
        <v>128400</v>
      </c>
      <c r="EV36">
        <v>129000</v>
      </c>
      <c r="EW36">
        <v>129800</v>
      </c>
      <c r="EX36">
        <v>131600</v>
      </c>
      <c r="EY36">
        <v>133600</v>
      </c>
      <c r="EZ36">
        <v>135400</v>
      </c>
      <c r="FA36">
        <v>137000</v>
      </c>
      <c r="FB36">
        <v>138900</v>
      </c>
      <c r="FC36">
        <v>141200</v>
      </c>
      <c r="FD36">
        <v>143100</v>
      </c>
      <c r="FE36">
        <v>145000</v>
      </c>
      <c r="FF36">
        <v>147500</v>
      </c>
      <c r="FG36">
        <v>151200</v>
      </c>
      <c r="FH36">
        <v>155700</v>
      </c>
      <c r="FI36">
        <v>159800</v>
      </c>
      <c r="FJ36">
        <v>163200</v>
      </c>
      <c r="FK36">
        <v>166300</v>
      </c>
      <c r="FL36">
        <v>169200</v>
      </c>
      <c r="FM36">
        <v>171700</v>
      </c>
      <c r="FN36">
        <v>173700</v>
      </c>
      <c r="FO36">
        <v>175400</v>
      </c>
      <c r="FP36">
        <v>176800</v>
      </c>
      <c r="FQ36">
        <v>178400</v>
      </c>
      <c r="FR36">
        <v>180100</v>
      </c>
      <c r="FS36">
        <v>182000</v>
      </c>
      <c r="FT36">
        <v>183500</v>
      </c>
      <c r="FU36">
        <v>184800</v>
      </c>
      <c r="FV36">
        <v>186000</v>
      </c>
      <c r="FW36">
        <v>187100</v>
      </c>
      <c r="FX36">
        <v>188200</v>
      </c>
      <c r="FY36">
        <v>189800</v>
      </c>
      <c r="FZ36">
        <v>191700</v>
      </c>
      <c r="GA36">
        <v>193500</v>
      </c>
      <c r="GB36">
        <v>194900</v>
      </c>
      <c r="GC36">
        <v>196000</v>
      </c>
      <c r="GD36">
        <v>197200</v>
      </c>
      <c r="GE36">
        <v>198500</v>
      </c>
      <c r="GF36">
        <v>200100</v>
      </c>
      <c r="GG36">
        <v>201700</v>
      </c>
      <c r="GH36">
        <v>203400</v>
      </c>
      <c r="GI36">
        <v>204800</v>
      </c>
      <c r="GJ36">
        <v>206300</v>
      </c>
      <c r="GK36">
        <v>207800</v>
      </c>
      <c r="GL36">
        <v>209600</v>
      </c>
      <c r="GM36">
        <v>211400</v>
      </c>
      <c r="GN36">
        <v>213000</v>
      </c>
      <c r="GO36">
        <v>214400</v>
      </c>
      <c r="GP36">
        <v>216100</v>
      </c>
      <c r="GQ36">
        <v>218100</v>
      </c>
      <c r="GR36">
        <v>219700</v>
      </c>
      <c r="GS36">
        <v>220500</v>
      </c>
      <c r="GT36">
        <v>221500</v>
      </c>
      <c r="GU36">
        <v>223100</v>
      </c>
      <c r="GV36">
        <v>224900</v>
      </c>
      <c r="GW36">
        <v>226800</v>
      </c>
      <c r="GX36">
        <v>228800</v>
      </c>
      <c r="GY36">
        <v>230500</v>
      </c>
      <c r="GZ36">
        <v>232000</v>
      </c>
      <c r="HA36">
        <v>233800</v>
      </c>
      <c r="HB36">
        <v>235900</v>
      </c>
      <c r="HC36">
        <v>238300</v>
      </c>
      <c r="HD36">
        <v>240800</v>
      </c>
      <c r="HE36">
        <v>243200</v>
      </c>
      <c r="HF36">
        <v>245100</v>
      </c>
      <c r="HG36">
        <v>247100</v>
      </c>
      <c r="HH36">
        <v>249700</v>
      </c>
      <c r="HI36">
        <v>253000</v>
      </c>
      <c r="HJ36">
        <v>255900</v>
      </c>
      <c r="HK36">
        <v>258600</v>
      </c>
      <c r="HL36">
        <v>262000</v>
      </c>
      <c r="HM36">
        <v>265700</v>
      </c>
      <c r="HN36">
        <v>268000</v>
      </c>
      <c r="HO36">
        <v>269900</v>
      </c>
      <c r="HP36">
        <v>272600</v>
      </c>
      <c r="HQ36">
        <v>275700</v>
      </c>
      <c r="HR36">
        <v>278400</v>
      </c>
      <c r="HS36">
        <v>281600</v>
      </c>
      <c r="HT36">
        <v>284300</v>
      </c>
    </row>
    <row r="37" spans="1:228" x14ac:dyDescent="0.3">
      <c r="A37">
        <v>41</v>
      </c>
      <c r="B37" t="s">
        <v>263</v>
      </c>
      <c r="C37">
        <v>36</v>
      </c>
      <c r="D37">
        <v>122600</v>
      </c>
      <c r="E37">
        <v>122900</v>
      </c>
      <c r="F37">
        <v>123200</v>
      </c>
      <c r="G37">
        <v>123500</v>
      </c>
      <c r="H37">
        <v>123800</v>
      </c>
      <c r="I37">
        <v>124100</v>
      </c>
      <c r="J37">
        <v>124400</v>
      </c>
      <c r="K37">
        <v>124700</v>
      </c>
      <c r="L37">
        <v>125000</v>
      </c>
      <c r="M37">
        <v>125500</v>
      </c>
      <c r="N37">
        <v>126100</v>
      </c>
      <c r="O37">
        <v>127100</v>
      </c>
      <c r="P37">
        <v>128300</v>
      </c>
      <c r="Q37">
        <v>129500</v>
      </c>
      <c r="R37">
        <v>130600</v>
      </c>
      <c r="S37">
        <v>131700</v>
      </c>
      <c r="T37">
        <v>132600</v>
      </c>
      <c r="U37">
        <v>133500</v>
      </c>
      <c r="V37">
        <v>134100</v>
      </c>
      <c r="W37">
        <v>134600</v>
      </c>
      <c r="X37">
        <v>134900</v>
      </c>
      <c r="Y37">
        <v>135000</v>
      </c>
      <c r="Z37">
        <v>135300</v>
      </c>
      <c r="AA37">
        <v>135800</v>
      </c>
      <c r="AB37">
        <v>136500</v>
      </c>
      <c r="AC37">
        <v>137100</v>
      </c>
      <c r="AD37">
        <v>137800</v>
      </c>
      <c r="AE37">
        <v>138400</v>
      </c>
      <c r="AF37">
        <v>138800</v>
      </c>
      <c r="AG37">
        <v>139000</v>
      </c>
      <c r="AH37">
        <v>139000</v>
      </c>
      <c r="AI37">
        <v>138800</v>
      </c>
      <c r="AJ37">
        <v>138300</v>
      </c>
      <c r="AK37">
        <v>137800</v>
      </c>
      <c r="AL37">
        <v>137500</v>
      </c>
      <c r="AM37">
        <v>137400</v>
      </c>
      <c r="AN37">
        <v>137600</v>
      </c>
      <c r="AO37">
        <v>138100</v>
      </c>
      <c r="AP37">
        <v>138400</v>
      </c>
      <c r="AQ37">
        <v>138800</v>
      </c>
      <c r="AR37">
        <v>139400</v>
      </c>
      <c r="AS37">
        <v>140200</v>
      </c>
      <c r="AT37">
        <v>141400</v>
      </c>
      <c r="AU37">
        <v>142800</v>
      </c>
      <c r="AV37">
        <v>144400</v>
      </c>
      <c r="AW37">
        <v>146000</v>
      </c>
      <c r="AX37">
        <v>147600</v>
      </c>
      <c r="AY37">
        <v>149200</v>
      </c>
      <c r="AZ37">
        <v>151000</v>
      </c>
      <c r="BA37">
        <v>152800</v>
      </c>
      <c r="BB37">
        <v>154200</v>
      </c>
      <c r="BC37">
        <v>154900</v>
      </c>
      <c r="BD37">
        <v>154700</v>
      </c>
      <c r="BE37">
        <v>154000</v>
      </c>
      <c r="BF37">
        <v>153200</v>
      </c>
      <c r="BG37">
        <v>152900</v>
      </c>
      <c r="BH37">
        <v>153000</v>
      </c>
      <c r="BI37">
        <v>153100</v>
      </c>
      <c r="BJ37">
        <v>152800</v>
      </c>
      <c r="BK37">
        <v>151600</v>
      </c>
      <c r="BL37">
        <v>149800</v>
      </c>
      <c r="BM37">
        <v>148000</v>
      </c>
      <c r="BN37">
        <v>147000</v>
      </c>
      <c r="BO37">
        <v>146800</v>
      </c>
      <c r="BP37">
        <v>147300</v>
      </c>
      <c r="BQ37">
        <v>148200</v>
      </c>
      <c r="BR37">
        <v>149300</v>
      </c>
      <c r="BS37">
        <v>150400</v>
      </c>
      <c r="BT37">
        <v>151700</v>
      </c>
      <c r="BU37">
        <v>153200</v>
      </c>
      <c r="BV37">
        <v>155200</v>
      </c>
      <c r="BW37">
        <v>157300</v>
      </c>
      <c r="BX37">
        <v>159400</v>
      </c>
      <c r="BY37">
        <v>161500</v>
      </c>
      <c r="BZ37">
        <v>163600</v>
      </c>
      <c r="CA37">
        <v>165700</v>
      </c>
      <c r="CB37">
        <v>167700</v>
      </c>
      <c r="CC37">
        <v>169700</v>
      </c>
      <c r="CD37">
        <v>171500</v>
      </c>
      <c r="CE37">
        <v>173300</v>
      </c>
      <c r="CF37">
        <v>174900</v>
      </c>
      <c r="CG37">
        <v>176400</v>
      </c>
      <c r="CH37">
        <v>177700</v>
      </c>
      <c r="CI37">
        <v>178900</v>
      </c>
      <c r="CJ37">
        <v>179800</v>
      </c>
      <c r="CK37">
        <v>180400</v>
      </c>
      <c r="CL37">
        <v>180900</v>
      </c>
      <c r="CM37">
        <v>181500</v>
      </c>
      <c r="CN37">
        <v>182200</v>
      </c>
      <c r="CO37">
        <v>182800</v>
      </c>
      <c r="CP37">
        <v>183500</v>
      </c>
      <c r="CQ37">
        <v>183900</v>
      </c>
      <c r="CR37">
        <v>184100</v>
      </c>
      <c r="CS37">
        <v>184200</v>
      </c>
      <c r="CT37">
        <v>184200</v>
      </c>
      <c r="CU37">
        <v>184200</v>
      </c>
      <c r="CV37">
        <v>184300</v>
      </c>
      <c r="CW37">
        <v>184500</v>
      </c>
      <c r="CX37">
        <v>184600</v>
      </c>
      <c r="CY37">
        <v>184600</v>
      </c>
      <c r="CZ37">
        <v>184400</v>
      </c>
      <c r="DA37">
        <v>184000</v>
      </c>
      <c r="DB37">
        <v>183500</v>
      </c>
      <c r="DC37">
        <v>182800</v>
      </c>
      <c r="DD37">
        <v>182100</v>
      </c>
      <c r="DE37">
        <v>181500</v>
      </c>
      <c r="DF37">
        <v>181000</v>
      </c>
      <c r="DG37">
        <v>180500</v>
      </c>
      <c r="DH37">
        <v>180100</v>
      </c>
      <c r="DI37">
        <v>179700</v>
      </c>
      <c r="DJ37">
        <v>179200</v>
      </c>
      <c r="DK37">
        <v>178700</v>
      </c>
      <c r="DL37">
        <v>178100</v>
      </c>
      <c r="DM37">
        <v>177400</v>
      </c>
      <c r="DN37">
        <v>176600</v>
      </c>
      <c r="DO37">
        <v>175900</v>
      </c>
      <c r="DP37">
        <v>175400</v>
      </c>
      <c r="DQ37">
        <v>175000</v>
      </c>
      <c r="DR37">
        <v>174900</v>
      </c>
      <c r="DS37">
        <v>175000</v>
      </c>
      <c r="DT37">
        <v>175000</v>
      </c>
      <c r="DU37">
        <v>175100</v>
      </c>
      <c r="DV37">
        <v>174800</v>
      </c>
      <c r="DW37">
        <v>174100</v>
      </c>
      <c r="DX37">
        <v>173400</v>
      </c>
      <c r="DY37">
        <v>172900</v>
      </c>
      <c r="DZ37">
        <v>172300</v>
      </c>
      <c r="EA37">
        <v>171800</v>
      </c>
      <c r="EB37">
        <v>171000</v>
      </c>
      <c r="EC37">
        <v>169700</v>
      </c>
      <c r="ED37">
        <v>168500</v>
      </c>
      <c r="EE37">
        <v>167400</v>
      </c>
      <c r="EF37">
        <v>166300</v>
      </c>
      <c r="EG37">
        <v>165000</v>
      </c>
      <c r="EH37">
        <v>163800</v>
      </c>
      <c r="EI37">
        <v>162700</v>
      </c>
      <c r="EJ37">
        <v>161500</v>
      </c>
      <c r="EK37">
        <v>160600</v>
      </c>
      <c r="EL37">
        <v>159900</v>
      </c>
      <c r="EM37">
        <v>159300</v>
      </c>
      <c r="EN37">
        <v>158600</v>
      </c>
      <c r="EO37">
        <v>158100</v>
      </c>
      <c r="EP37">
        <v>157400</v>
      </c>
      <c r="EQ37">
        <v>156700</v>
      </c>
      <c r="ER37">
        <v>156200</v>
      </c>
      <c r="ES37">
        <v>155600</v>
      </c>
      <c r="ET37">
        <v>154900</v>
      </c>
      <c r="EU37">
        <v>154700</v>
      </c>
      <c r="EV37">
        <v>154700</v>
      </c>
      <c r="EW37">
        <v>154800</v>
      </c>
      <c r="EX37">
        <v>154600</v>
      </c>
      <c r="EY37">
        <v>154200</v>
      </c>
      <c r="EZ37">
        <v>154100</v>
      </c>
      <c r="FA37">
        <v>154100</v>
      </c>
      <c r="FB37">
        <v>153900</v>
      </c>
      <c r="FC37">
        <v>153700</v>
      </c>
      <c r="FD37">
        <v>153500</v>
      </c>
      <c r="FE37">
        <v>153500</v>
      </c>
      <c r="FF37">
        <v>153700</v>
      </c>
      <c r="FG37">
        <v>153800</v>
      </c>
      <c r="FH37">
        <v>153700</v>
      </c>
      <c r="FI37">
        <v>153700</v>
      </c>
      <c r="FJ37">
        <v>153800</v>
      </c>
      <c r="FK37">
        <v>153900</v>
      </c>
      <c r="FL37">
        <v>154200</v>
      </c>
      <c r="FM37">
        <v>154400</v>
      </c>
      <c r="FN37">
        <v>154300</v>
      </c>
      <c r="FO37">
        <v>154300</v>
      </c>
      <c r="FP37">
        <v>154700</v>
      </c>
      <c r="FQ37">
        <v>155400</v>
      </c>
      <c r="FR37">
        <v>155800</v>
      </c>
      <c r="FS37">
        <v>156000</v>
      </c>
      <c r="FT37">
        <v>156100</v>
      </c>
      <c r="FU37">
        <v>156200</v>
      </c>
      <c r="FV37">
        <v>156100</v>
      </c>
      <c r="FW37">
        <v>156100</v>
      </c>
      <c r="FX37">
        <v>156000</v>
      </c>
      <c r="FY37">
        <v>156200</v>
      </c>
      <c r="FZ37">
        <v>156700</v>
      </c>
      <c r="GA37">
        <v>157100</v>
      </c>
      <c r="GB37">
        <v>157400</v>
      </c>
      <c r="GC37">
        <v>157700</v>
      </c>
      <c r="GD37">
        <v>158200</v>
      </c>
      <c r="GE37">
        <v>158700</v>
      </c>
      <c r="GF37">
        <v>159300</v>
      </c>
      <c r="GG37">
        <v>160300</v>
      </c>
      <c r="GH37">
        <v>161400</v>
      </c>
      <c r="GI37">
        <v>162200</v>
      </c>
      <c r="GJ37">
        <v>162900</v>
      </c>
      <c r="GK37">
        <v>163500</v>
      </c>
      <c r="GL37">
        <v>163800</v>
      </c>
      <c r="GM37">
        <v>164000</v>
      </c>
      <c r="GN37">
        <v>163900</v>
      </c>
      <c r="GO37">
        <v>163900</v>
      </c>
      <c r="GP37">
        <v>164600</v>
      </c>
      <c r="GQ37">
        <v>165300</v>
      </c>
      <c r="GR37">
        <v>165800</v>
      </c>
      <c r="GS37">
        <v>166100</v>
      </c>
      <c r="GT37">
        <v>166600</v>
      </c>
      <c r="GU37">
        <v>167000</v>
      </c>
      <c r="GV37">
        <v>167500</v>
      </c>
      <c r="GW37">
        <v>168500</v>
      </c>
      <c r="GX37">
        <v>169700</v>
      </c>
      <c r="GY37">
        <v>170600</v>
      </c>
      <c r="GZ37">
        <v>171300</v>
      </c>
      <c r="HA37">
        <v>171900</v>
      </c>
      <c r="HB37">
        <v>172500</v>
      </c>
      <c r="HC37">
        <v>173000</v>
      </c>
      <c r="HD37">
        <v>173100</v>
      </c>
      <c r="HE37">
        <v>173200</v>
      </c>
      <c r="HF37">
        <v>173600</v>
      </c>
      <c r="HG37">
        <v>174300</v>
      </c>
      <c r="HH37">
        <v>175000</v>
      </c>
      <c r="HI37">
        <v>175900</v>
      </c>
      <c r="HJ37">
        <v>177400</v>
      </c>
      <c r="HK37">
        <v>179000</v>
      </c>
      <c r="HL37">
        <v>180300</v>
      </c>
      <c r="HM37">
        <v>181000</v>
      </c>
      <c r="HN37">
        <v>181300</v>
      </c>
      <c r="HO37">
        <v>182700</v>
      </c>
      <c r="HP37">
        <v>185000</v>
      </c>
      <c r="HQ37">
        <v>186800</v>
      </c>
      <c r="HR37">
        <v>187600</v>
      </c>
      <c r="HS37">
        <v>189000</v>
      </c>
      <c r="HT37">
        <v>190100</v>
      </c>
    </row>
    <row r="38" spans="1:228" x14ac:dyDescent="0.3">
      <c r="A38">
        <v>61</v>
      </c>
      <c r="B38" t="s">
        <v>264</v>
      </c>
      <c r="C38">
        <v>37</v>
      </c>
      <c r="D38">
        <v>57600</v>
      </c>
      <c r="E38">
        <v>57600</v>
      </c>
      <c r="F38">
        <v>57700</v>
      </c>
      <c r="G38">
        <v>57800</v>
      </c>
      <c r="H38">
        <v>57900</v>
      </c>
      <c r="I38">
        <v>58100</v>
      </c>
      <c r="J38">
        <v>58200</v>
      </c>
      <c r="K38">
        <v>58400</v>
      </c>
      <c r="L38">
        <v>58700</v>
      </c>
      <c r="M38">
        <v>59100</v>
      </c>
      <c r="N38">
        <v>59500</v>
      </c>
      <c r="O38">
        <v>59900</v>
      </c>
      <c r="P38">
        <v>60200</v>
      </c>
      <c r="Q38">
        <v>60500</v>
      </c>
      <c r="R38">
        <v>60800</v>
      </c>
      <c r="S38">
        <v>61000</v>
      </c>
      <c r="T38">
        <v>61200</v>
      </c>
      <c r="U38">
        <v>61200</v>
      </c>
      <c r="V38">
        <v>61200</v>
      </c>
      <c r="W38">
        <v>61100</v>
      </c>
      <c r="X38">
        <v>61200</v>
      </c>
      <c r="Y38">
        <v>61200</v>
      </c>
      <c r="Z38">
        <v>61300</v>
      </c>
      <c r="AA38">
        <v>61400</v>
      </c>
      <c r="AB38">
        <v>61500</v>
      </c>
      <c r="AC38">
        <v>61500</v>
      </c>
      <c r="AD38">
        <v>61600</v>
      </c>
      <c r="AE38">
        <v>61700</v>
      </c>
      <c r="AF38">
        <v>61700</v>
      </c>
      <c r="AG38">
        <v>61900</v>
      </c>
      <c r="AH38">
        <v>62100</v>
      </c>
      <c r="AI38">
        <v>62500</v>
      </c>
      <c r="AJ38">
        <v>63200</v>
      </c>
      <c r="AK38">
        <v>64000</v>
      </c>
      <c r="AL38">
        <v>65000</v>
      </c>
      <c r="AM38">
        <v>65900</v>
      </c>
      <c r="AN38">
        <v>66700</v>
      </c>
      <c r="AO38">
        <v>67500</v>
      </c>
      <c r="AP38">
        <v>68300</v>
      </c>
      <c r="AQ38">
        <v>69200</v>
      </c>
      <c r="AR38">
        <v>69900</v>
      </c>
      <c r="AS38">
        <v>70600</v>
      </c>
      <c r="AT38">
        <v>71000</v>
      </c>
      <c r="AU38">
        <v>71000</v>
      </c>
      <c r="AV38">
        <v>70700</v>
      </c>
      <c r="AW38">
        <v>70200</v>
      </c>
      <c r="AX38">
        <v>69500</v>
      </c>
      <c r="AY38">
        <v>68900</v>
      </c>
      <c r="AZ38">
        <v>68600</v>
      </c>
      <c r="BA38">
        <v>68600</v>
      </c>
      <c r="BB38">
        <v>68900</v>
      </c>
      <c r="BC38">
        <v>69400</v>
      </c>
      <c r="BD38">
        <v>70100</v>
      </c>
      <c r="BE38">
        <v>71100</v>
      </c>
      <c r="BF38">
        <v>72300</v>
      </c>
      <c r="BG38">
        <v>73300</v>
      </c>
      <c r="BH38">
        <v>74300</v>
      </c>
      <c r="BI38">
        <v>75200</v>
      </c>
      <c r="BJ38">
        <v>76300</v>
      </c>
      <c r="BK38">
        <v>77500</v>
      </c>
      <c r="BL38">
        <v>78700</v>
      </c>
      <c r="BM38">
        <v>79500</v>
      </c>
      <c r="BN38">
        <v>79800</v>
      </c>
      <c r="BO38">
        <v>79700</v>
      </c>
      <c r="BP38">
        <v>79400</v>
      </c>
      <c r="BQ38">
        <v>79400</v>
      </c>
      <c r="BR38">
        <v>79600</v>
      </c>
      <c r="BS38">
        <v>80000</v>
      </c>
      <c r="BT38">
        <v>80400</v>
      </c>
      <c r="BU38">
        <v>80800</v>
      </c>
      <c r="BV38">
        <v>81100</v>
      </c>
      <c r="BW38">
        <v>81300</v>
      </c>
      <c r="BX38">
        <v>81500</v>
      </c>
      <c r="BY38">
        <v>81600</v>
      </c>
      <c r="BZ38">
        <v>81600</v>
      </c>
      <c r="CA38">
        <v>81700</v>
      </c>
      <c r="CB38">
        <v>81900</v>
      </c>
      <c r="CC38">
        <v>82200</v>
      </c>
      <c r="CD38">
        <v>82400</v>
      </c>
      <c r="CE38">
        <v>82800</v>
      </c>
      <c r="CF38">
        <v>83500</v>
      </c>
      <c r="CG38">
        <v>84100</v>
      </c>
      <c r="CH38">
        <v>84400</v>
      </c>
      <c r="CI38">
        <v>84400</v>
      </c>
      <c r="CJ38">
        <v>84200</v>
      </c>
      <c r="CK38">
        <v>84000</v>
      </c>
      <c r="CL38">
        <v>84100</v>
      </c>
      <c r="CM38">
        <v>84300</v>
      </c>
      <c r="CN38">
        <v>84800</v>
      </c>
      <c r="CO38">
        <v>85200</v>
      </c>
      <c r="CP38">
        <v>85300</v>
      </c>
      <c r="CQ38">
        <v>85100</v>
      </c>
      <c r="CR38">
        <v>84800</v>
      </c>
      <c r="CS38">
        <v>84400</v>
      </c>
      <c r="CT38">
        <v>84000</v>
      </c>
      <c r="CU38">
        <v>83800</v>
      </c>
      <c r="CV38">
        <v>83800</v>
      </c>
      <c r="CW38">
        <v>83800</v>
      </c>
      <c r="CX38">
        <v>83900</v>
      </c>
      <c r="CY38">
        <v>83800</v>
      </c>
      <c r="CZ38">
        <v>83500</v>
      </c>
      <c r="DA38">
        <v>83100</v>
      </c>
      <c r="DB38">
        <v>82700</v>
      </c>
      <c r="DC38">
        <v>82300</v>
      </c>
      <c r="DD38">
        <v>82100</v>
      </c>
      <c r="DE38">
        <v>81900</v>
      </c>
      <c r="DF38">
        <v>81900</v>
      </c>
      <c r="DG38">
        <v>81900</v>
      </c>
      <c r="DH38">
        <v>81800</v>
      </c>
      <c r="DI38">
        <v>81800</v>
      </c>
      <c r="DJ38">
        <v>81800</v>
      </c>
      <c r="DK38">
        <v>81700</v>
      </c>
      <c r="DL38">
        <v>81500</v>
      </c>
      <c r="DM38">
        <v>81400</v>
      </c>
      <c r="DN38">
        <v>81100</v>
      </c>
      <c r="DO38">
        <v>80900</v>
      </c>
      <c r="DP38">
        <v>80600</v>
      </c>
      <c r="DQ38">
        <v>80400</v>
      </c>
      <c r="DR38">
        <v>80400</v>
      </c>
      <c r="DS38">
        <v>80500</v>
      </c>
      <c r="DT38">
        <v>80500</v>
      </c>
      <c r="DU38">
        <v>80600</v>
      </c>
      <c r="DV38">
        <v>80700</v>
      </c>
      <c r="DW38">
        <v>80700</v>
      </c>
      <c r="DX38">
        <v>80500</v>
      </c>
      <c r="DY38">
        <v>80100</v>
      </c>
      <c r="DZ38">
        <v>80100</v>
      </c>
      <c r="EA38">
        <v>80300</v>
      </c>
      <c r="EB38">
        <v>80500</v>
      </c>
      <c r="EC38">
        <v>80600</v>
      </c>
      <c r="ED38">
        <v>80600</v>
      </c>
      <c r="EE38">
        <v>80600</v>
      </c>
      <c r="EF38">
        <v>80500</v>
      </c>
      <c r="EG38">
        <v>80200</v>
      </c>
      <c r="EH38">
        <v>79800</v>
      </c>
      <c r="EI38">
        <v>79700</v>
      </c>
      <c r="EJ38">
        <v>79900</v>
      </c>
      <c r="EK38">
        <v>80100</v>
      </c>
      <c r="EL38">
        <v>80200</v>
      </c>
      <c r="EM38">
        <v>80100</v>
      </c>
      <c r="EN38">
        <v>80100</v>
      </c>
      <c r="EO38">
        <v>79900</v>
      </c>
      <c r="EP38">
        <v>79700</v>
      </c>
      <c r="EQ38">
        <v>79500</v>
      </c>
      <c r="ER38">
        <v>79300</v>
      </c>
      <c r="ES38">
        <v>79200</v>
      </c>
      <c r="ET38">
        <v>79200</v>
      </c>
      <c r="EU38">
        <v>79400</v>
      </c>
      <c r="EV38">
        <v>79700</v>
      </c>
      <c r="EW38">
        <v>79700</v>
      </c>
      <c r="EX38">
        <v>79700</v>
      </c>
      <c r="EY38">
        <v>79800</v>
      </c>
      <c r="EZ38">
        <v>80100</v>
      </c>
      <c r="FA38">
        <v>80400</v>
      </c>
      <c r="FB38">
        <v>80500</v>
      </c>
      <c r="FC38">
        <v>80600</v>
      </c>
      <c r="FD38">
        <v>80900</v>
      </c>
      <c r="FE38">
        <v>81100</v>
      </c>
      <c r="FF38">
        <v>81300</v>
      </c>
      <c r="FG38">
        <v>81500</v>
      </c>
      <c r="FH38">
        <v>81800</v>
      </c>
      <c r="FI38">
        <v>81900</v>
      </c>
      <c r="FJ38">
        <v>82200</v>
      </c>
      <c r="FK38">
        <v>82400</v>
      </c>
      <c r="FL38">
        <v>82500</v>
      </c>
      <c r="FM38">
        <v>82500</v>
      </c>
      <c r="FN38">
        <v>82700</v>
      </c>
      <c r="FO38">
        <v>83000</v>
      </c>
      <c r="FP38">
        <v>83100</v>
      </c>
      <c r="FQ38">
        <v>83000</v>
      </c>
      <c r="FR38">
        <v>82800</v>
      </c>
      <c r="FS38">
        <v>82900</v>
      </c>
      <c r="FT38">
        <v>83100</v>
      </c>
      <c r="FU38">
        <v>83400</v>
      </c>
      <c r="FV38">
        <v>83600</v>
      </c>
      <c r="FW38">
        <v>83700</v>
      </c>
      <c r="FX38">
        <v>83800</v>
      </c>
      <c r="FY38">
        <v>84100</v>
      </c>
      <c r="FZ38">
        <v>84400</v>
      </c>
      <c r="GA38">
        <v>84500</v>
      </c>
      <c r="GB38">
        <v>84900</v>
      </c>
      <c r="GC38">
        <v>85400</v>
      </c>
      <c r="GD38">
        <v>86000</v>
      </c>
      <c r="GE38">
        <v>86200</v>
      </c>
      <c r="GF38">
        <v>86200</v>
      </c>
      <c r="GG38">
        <v>86600</v>
      </c>
      <c r="GH38">
        <v>87100</v>
      </c>
      <c r="GI38">
        <v>87600</v>
      </c>
      <c r="GJ38">
        <v>87900</v>
      </c>
      <c r="GK38">
        <v>88200</v>
      </c>
      <c r="GL38">
        <v>88600</v>
      </c>
      <c r="GM38">
        <v>89000</v>
      </c>
      <c r="GN38">
        <v>88900</v>
      </c>
      <c r="GO38">
        <v>88900</v>
      </c>
      <c r="GP38">
        <v>88900</v>
      </c>
      <c r="GQ38">
        <v>89100</v>
      </c>
      <c r="GR38">
        <v>89100</v>
      </c>
      <c r="GS38">
        <v>89300</v>
      </c>
      <c r="GT38">
        <v>89700</v>
      </c>
      <c r="GU38">
        <v>90100</v>
      </c>
      <c r="GV38">
        <v>90200</v>
      </c>
      <c r="GW38">
        <v>90200</v>
      </c>
      <c r="GX38">
        <v>90400</v>
      </c>
      <c r="GY38">
        <v>90500</v>
      </c>
      <c r="GZ38">
        <v>91200</v>
      </c>
      <c r="HA38">
        <v>92100</v>
      </c>
      <c r="HB38">
        <v>92800</v>
      </c>
      <c r="HC38">
        <v>93000</v>
      </c>
      <c r="HD38">
        <v>93200</v>
      </c>
      <c r="HE38">
        <v>93200</v>
      </c>
      <c r="HF38">
        <v>92600</v>
      </c>
      <c r="HG38">
        <v>92100</v>
      </c>
      <c r="HH38">
        <v>92000</v>
      </c>
      <c r="HI38">
        <v>92100</v>
      </c>
      <c r="HJ38">
        <v>92300</v>
      </c>
      <c r="HK38">
        <v>92400</v>
      </c>
      <c r="HL38">
        <v>92700</v>
      </c>
      <c r="HM38">
        <v>93300</v>
      </c>
      <c r="HN38">
        <v>94100</v>
      </c>
      <c r="HO38">
        <v>94800</v>
      </c>
      <c r="HP38">
        <v>95000</v>
      </c>
      <c r="HQ38">
        <v>95200</v>
      </c>
      <c r="HR38">
        <v>95600</v>
      </c>
      <c r="HS38">
        <v>96200</v>
      </c>
      <c r="HT38">
        <v>96800</v>
      </c>
    </row>
    <row r="39" spans="1:228" x14ac:dyDescent="0.3">
      <c r="A39">
        <v>38</v>
      </c>
      <c r="B39" t="s">
        <v>265</v>
      </c>
      <c r="C39">
        <v>38</v>
      </c>
      <c r="D39">
        <v>106600</v>
      </c>
      <c r="E39">
        <v>107600</v>
      </c>
      <c r="F39">
        <v>108400</v>
      </c>
      <c r="G39">
        <v>109100</v>
      </c>
      <c r="H39">
        <v>109600</v>
      </c>
      <c r="I39">
        <v>109900</v>
      </c>
      <c r="J39">
        <v>110100</v>
      </c>
      <c r="K39">
        <v>110300</v>
      </c>
      <c r="L39">
        <v>110600</v>
      </c>
      <c r="M39">
        <v>110700</v>
      </c>
      <c r="N39">
        <v>110400</v>
      </c>
      <c r="O39">
        <v>109600</v>
      </c>
      <c r="P39">
        <v>108100</v>
      </c>
      <c r="Q39">
        <v>105700</v>
      </c>
      <c r="R39">
        <v>102500</v>
      </c>
      <c r="S39">
        <v>99300</v>
      </c>
      <c r="T39">
        <v>96500</v>
      </c>
      <c r="U39">
        <v>94400</v>
      </c>
      <c r="V39">
        <v>93000</v>
      </c>
      <c r="W39">
        <v>92300</v>
      </c>
      <c r="X39">
        <v>92100</v>
      </c>
      <c r="Y39">
        <v>92300</v>
      </c>
      <c r="Z39">
        <v>92700</v>
      </c>
      <c r="AA39">
        <v>93100</v>
      </c>
      <c r="AB39">
        <v>93700</v>
      </c>
      <c r="AC39">
        <v>94200</v>
      </c>
      <c r="AD39">
        <v>94700</v>
      </c>
      <c r="AE39">
        <v>95100</v>
      </c>
      <c r="AF39">
        <v>95300</v>
      </c>
      <c r="AG39">
        <v>95600</v>
      </c>
      <c r="AH39">
        <v>95700</v>
      </c>
      <c r="AI39">
        <v>95900</v>
      </c>
      <c r="AJ39">
        <v>96100</v>
      </c>
      <c r="AK39">
        <v>96300</v>
      </c>
      <c r="AL39">
        <v>96700</v>
      </c>
      <c r="AM39">
        <v>97000</v>
      </c>
      <c r="AN39">
        <v>97300</v>
      </c>
      <c r="AO39">
        <v>97500</v>
      </c>
      <c r="AP39">
        <v>97900</v>
      </c>
      <c r="AQ39">
        <v>98500</v>
      </c>
      <c r="AR39">
        <v>99000</v>
      </c>
      <c r="AS39">
        <v>99700</v>
      </c>
      <c r="AT39">
        <v>100400</v>
      </c>
      <c r="AU39">
        <v>101300</v>
      </c>
      <c r="AV39">
        <v>102100</v>
      </c>
      <c r="AW39">
        <v>102900</v>
      </c>
      <c r="AX39">
        <v>103600</v>
      </c>
      <c r="AY39">
        <v>104200</v>
      </c>
      <c r="AZ39">
        <v>104800</v>
      </c>
      <c r="BA39">
        <v>105600</v>
      </c>
      <c r="BB39">
        <v>106500</v>
      </c>
      <c r="BC39">
        <v>107600</v>
      </c>
      <c r="BD39">
        <v>108700</v>
      </c>
      <c r="BE39">
        <v>109700</v>
      </c>
      <c r="BF39">
        <v>110500</v>
      </c>
      <c r="BG39">
        <v>110900</v>
      </c>
      <c r="BH39">
        <v>111100</v>
      </c>
      <c r="BI39">
        <v>111200</v>
      </c>
      <c r="BJ39">
        <v>111500</v>
      </c>
      <c r="BK39">
        <v>112200</v>
      </c>
      <c r="BL39">
        <v>113100</v>
      </c>
      <c r="BM39">
        <v>114200</v>
      </c>
      <c r="BN39">
        <v>115100</v>
      </c>
      <c r="BO39">
        <v>115800</v>
      </c>
      <c r="BP39">
        <v>116100</v>
      </c>
      <c r="BQ39">
        <v>116200</v>
      </c>
      <c r="BR39">
        <v>116100</v>
      </c>
      <c r="BS39">
        <v>116200</v>
      </c>
      <c r="BT39">
        <v>116300</v>
      </c>
      <c r="BU39">
        <v>116600</v>
      </c>
      <c r="BV39">
        <v>116900</v>
      </c>
      <c r="BW39">
        <v>117400</v>
      </c>
      <c r="BX39">
        <v>117900</v>
      </c>
      <c r="BY39">
        <v>118400</v>
      </c>
      <c r="BZ39">
        <v>118900</v>
      </c>
      <c r="CA39">
        <v>119300</v>
      </c>
      <c r="CB39">
        <v>119700</v>
      </c>
      <c r="CC39">
        <v>120000</v>
      </c>
      <c r="CD39">
        <v>120300</v>
      </c>
      <c r="CE39">
        <v>120600</v>
      </c>
      <c r="CF39">
        <v>120800</v>
      </c>
      <c r="CG39">
        <v>121000</v>
      </c>
      <c r="CH39">
        <v>121100</v>
      </c>
      <c r="CI39">
        <v>121100</v>
      </c>
      <c r="CJ39">
        <v>121000</v>
      </c>
      <c r="CK39">
        <v>121000</v>
      </c>
      <c r="CL39">
        <v>121000</v>
      </c>
      <c r="CM39">
        <v>121000</v>
      </c>
      <c r="CN39">
        <v>121100</v>
      </c>
      <c r="CO39">
        <v>121100</v>
      </c>
      <c r="CP39">
        <v>121100</v>
      </c>
      <c r="CQ39">
        <v>121100</v>
      </c>
      <c r="CR39">
        <v>121000</v>
      </c>
      <c r="CS39">
        <v>121000</v>
      </c>
      <c r="CT39">
        <v>120800</v>
      </c>
      <c r="CU39">
        <v>120600</v>
      </c>
      <c r="CV39">
        <v>120200</v>
      </c>
      <c r="CW39">
        <v>119900</v>
      </c>
      <c r="CX39">
        <v>119400</v>
      </c>
      <c r="CY39">
        <v>119000</v>
      </c>
      <c r="CZ39">
        <v>118700</v>
      </c>
      <c r="DA39">
        <v>118500</v>
      </c>
      <c r="DB39">
        <v>118400</v>
      </c>
      <c r="DC39">
        <v>118300</v>
      </c>
      <c r="DD39">
        <v>118300</v>
      </c>
      <c r="DE39">
        <v>118200</v>
      </c>
      <c r="DF39">
        <v>118200</v>
      </c>
      <c r="DG39">
        <v>118200</v>
      </c>
      <c r="DH39">
        <v>118300</v>
      </c>
      <c r="DI39">
        <v>118300</v>
      </c>
      <c r="DJ39">
        <v>118400</v>
      </c>
      <c r="DK39">
        <v>118400</v>
      </c>
      <c r="DL39">
        <v>118400</v>
      </c>
      <c r="DM39">
        <v>118300</v>
      </c>
      <c r="DN39">
        <v>118200</v>
      </c>
      <c r="DO39">
        <v>118200</v>
      </c>
      <c r="DP39">
        <v>118200</v>
      </c>
      <c r="DQ39">
        <v>118200</v>
      </c>
      <c r="DR39">
        <v>118400</v>
      </c>
      <c r="DS39">
        <v>118600</v>
      </c>
      <c r="DT39">
        <v>118700</v>
      </c>
      <c r="DU39">
        <v>118700</v>
      </c>
      <c r="DV39">
        <v>118900</v>
      </c>
      <c r="DW39">
        <v>119100</v>
      </c>
      <c r="DX39">
        <v>119400</v>
      </c>
      <c r="DY39">
        <v>119500</v>
      </c>
      <c r="DZ39">
        <v>119500</v>
      </c>
      <c r="EA39">
        <v>119200</v>
      </c>
      <c r="EB39">
        <v>118800</v>
      </c>
      <c r="EC39">
        <v>118500</v>
      </c>
      <c r="ED39">
        <v>118200</v>
      </c>
      <c r="EE39">
        <v>117800</v>
      </c>
      <c r="EF39">
        <v>117500</v>
      </c>
      <c r="EG39">
        <v>117300</v>
      </c>
      <c r="EH39">
        <v>117300</v>
      </c>
      <c r="EI39">
        <v>117300</v>
      </c>
      <c r="EJ39">
        <v>117200</v>
      </c>
      <c r="EK39">
        <v>117000</v>
      </c>
      <c r="EL39">
        <v>116700</v>
      </c>
      <c r="EM39">
        <v>116500</v>
      </c>
      <c r="EN39">
        <v>116700</v>
      </c>
      <c r="EO39">
        <v>116800</v>
      </c>
      <c r="EP39">
        <v>116500</v>
      </c>
      <c r="EQ39">
        <v>116400</v>
      </c>
      <c r="ER39">
        <v>116500</v>
      </c>
      <c r="ES39">
        <v>116700</v>
      </c>
      <c r="ET39">
        <v>116500</v>
      </c>
      <c r="EU39">
        <v>116500</v>
      </c>
      <c r="EV39">
        <v>116800</v>
      </c>
      <c r="EW39">
        <v>117100</v>
      </c>
      <c r="EX39">
        <v>117500</v>
      </c>
      <c r="EY39">
        <v>118100</v>
      </c>
      <c r="EZ39">
        <v>118400</v>
      </c>
      <c r="FA39">
        <v>118700</v>
      </c>
      <c r="FB39">
        <v>119400</v>
      </c>
      <c r="FC39">
        <v>120000</v>
      </c>
      <c r="FD39">
        <v>120200</v>
      </c>
      <c r="FE39">
        <v>120300</v>
      </c>
      <c r="FF39">
        <v>120500</v>
      </c>
      <c r="FG39">
        <v>120700</v>
      </c>
      <c r="FH39">
        <v>120800</v>
      </c>
      <c r="FI39">
        <v>121200</v>
      </c>
      <c r="FJ39">
        <v>121800</v>
      </c>
      <c r="FK39">
        <v>122300</v>
      </c>
      <c r="FL39">
        <v>122600</v>
      </c>
      <c r="FM39">
        <v>123000</v>
      </c>
      <c r="FN39">
        <v>123300</v>
      </c>
      <c r="FO39">
        <v>123400</v>
      </c>
      <c r="FP39">
        <v>123700</v>
      </c>
      <c r="FQ39">
        <v>124000</v>
      </c>
      <c r="FR39">
        <v>124300</v>
      </c>
      <c r="FS39">
        <v>124500</v>
      </c>
      <c r="FT39">
        <v>124600</v>
      </c>
      <c r="FU39">
        <v>124800</v>
      </c>
      <c r="FV39">
        <v>125100</v>
      </c>
      <c r="FW39">
        <v>125500</v>
      </c>
      <c r="FX39">
        <v>126000</v>
      </c>
      <c r="FY39">
        <v>126600</v>
      </c>
      <c r="FZ39">
        <v>127100</v>
      </c>
      <c r="GA39">
        <v>127600</v>
      </c>
      <c r="GB39">
        <v>128200</v>
      </c>
      <c r="GC39">
        <v>128900</v>
      </c>
      <c r="GD39">
        <v>129600</v>
      </c>
      <c r="GE39">
        <v>130300</v>
      </c>
      <c r="GF39">
        <v>131000</v>
      </c>
      <c r="GG39">
        <v>131600</v>
      </c>
      <c r="GH39">
        <v>132100</v>
      </c>
      <c r="GI39">
        <v>132700</v>
      </c>
      <c r="GJ39">
        <v>133200</v>
      </c>
      <c r="GK39">
        <v>133600</v>
      </c>
      <c r="GL39">
        <v>134000</v>
      </c>
      <c r="GM39">
        <v>134500</v>
      </c>
      <c r="GN39">
        <v>135300</v>
      </c>
      <c r="GO39">
        <v>136000</v>
      </c>
      <c r="GP39">
        <v>136500</v>
      </c>
      <c r="GQ39">
        <v>137000</v>
      </c>
      <c r="GR39">
        <v>137600</v>
      </c>
      <c r="GS39">
        <v>138000</v>
      </c>
      <c r="GT39">
        <v>138300</v>
      </c>
      <c r="GU39">
        <v>138700</v>
      </c>
      <c r="GV39">
        <v>139300</v>
      </c>
      <c r="GW39">
        <v>140100</v>
      </c>
      <c r="GX39">
        <v>141100</v>
      </c>
      <c r="GY39">
        <v>141900</v>
      </c>
      <c r="GZ39">
        <v>142500</v>
      </c>
      <c r="HA39">
        <v>143000</v>
      </c>
      <c r="HB39">
        <v>143900</v>
      </c>
      <c r="HC39">
        <v>144900</v>
      </c>
      <c r="HD39">
        <v>145800</v>
      </c>
      <c r="HE39">
        <v>146800</v>
      </c>
      <c r="HF39">
        <v>147600</v>
      </c>
      <c r="HG39">
        <v>148400</v>
      </c>
      <c r="HH39">
        <v>149200</v>
      </c>
      <c r="HI39">
        <v>150100</v>
      </c>
      <c r="HJ39">
        <v>151000</v>
      </c>
      <c r="HK39">
        <v>152000</v>
      </c>
      <c r="HL39">
        <v>153000</v>
      </c>
      <c r="HM39">
        <v>154100</v>
      </c>
      <c r="HN39">
        <v>155000</v>
      </c>
      <c r="HO39">
        <v>155700</v>
      </c>
      <c r="HP39">
        <v>156700</v>
      </c>
      <c r="HQ39">
        <v>158000</v>
      </c>
      <c r="HR39">
        <v>159200</v>
      </c>
      <c r="HS39">
        <v>160400</v>
      </c>
      <c r="HT39">
        <v>161200</v>
      </c>
    </row>
    <row r="40" spans="1:228" x14ac:dyDescent="0.3">
      <c r="A40">
        <v>20</v>
      </c>
      <c r="B40" t="s">
        <v>266</v>
      </c>
      <c r="C40">
        <v>39</v>
      </c>
      <c r="D40">
        <v>119900</v>
      </c>
      <c r="E40">
        <v>120200</v>
      </c>
      <c r="F40">
        <v>120600</v>
      </c>
      <c r="G40">
        <v>120900</v>
      </c>
      <c r="H40">
        <v>121300</v>
      </c>
      <c r="I40">
        <v>121700</v>
      </c>
      <c r="J40">
        <v>122100</v>
      </c>
      <c r="K40">
        <v>122600</v>
      </c>
      <c r="L40">
        <v>123000</v>
      </c>
      <c r="M40">
        <v>123500</v>
      </c>
      <c r="N40">
        <v>124100</v>
      </c>
      <c r="O40">
        <v>124700</v>
      </c>
      <c r="P40">
        <v>125300</v>
      </c>
      <c r="Q40">
        <v>125800</v>
      </c>
      <c r="R40">
        <v>126200</v>
      </c>
      <c r="S40">
        <v>126300</v>
      </c>
      <c r="T40">
        <v>126100</v>
      </c>
      <c r="U40">
        <v>125800</v>
      </c>
      <c r="V40">
        <v>125200</v>
      </c>
      <c r="W40">
        <v>124600</v>
      </c>
      <c r="X40">
        <v>124200</v>
      </c>
      <c r="Y40">
        <v>123800</v>
      </c>
      <c r="Z40">
        <v>123700</v>
      </c>
      <c r="AA40">
        <v>123700</v>
      </c>
      <c r="AB40">
        <v>123800</v>
      </c>
      <c r="AC40">
        <v>124000</v>
      </c>
      <c r="AD40">
        <v>124200</v>
      </c>
      <c r="AE40">
        <v>124500</v>
      </c>
      <c r="AF40">
        <v>124700</v>
      </c>
      <c r="AG40">
        <v>125000</v>
      </c>
      <c r="AH40">
        <v>125300</v>
      </c>
      <c r="AI40">
        <v>125600</v>
      </c>
      <c r="AJ40">
        <v>126000</v>
      </c>
      <c r="AK40">
        <v>126400</v>
      </c>
      <c r="AL40">
        <v>126800</v>
      </c>
      <c r="AM40">
        <v>127200</v>
      </c>
      <c r="AN40">
        <v>127500</v>
      </c>
      <c r="AO40">
        <v>127800</v>
      </c>
      <c r="AP40">
        <v>128200</v>
      </c>
      <c r="AQ40">
        <v>128600</v>
      </c>
      <c r="AR40">
        <v>129100</v>
      </c>
      <c r="AS40">
        <v>129600</v>
      </c>
      <c r="AT40">
        <v>130200</v>
      </c>
      <c r="AU40">
        <v>130800</v>
      </c>
      <c r="AV40">
        <v>131200</v>
      </c>
      <c r="AW40">
        <v>131500</v>
      </c>
      <c r="AX40">
        <v>131700</v>
      </c>
      <c r="AY40">
        <v>132000</v>
      </c>
      <c r="AZ40">
        <v>132300</v>
      </c>
      <c r="BA40">
        <v>132800</v>
      </c>
      <c r="BB40">
        <v>133400</v>
      </c>
      <c r="BC40">
        <v>134200</v>
      </c>
      <c r="BD40">
        <v>135200</v>
      </c>
      <c r="BE40">
        <v>136200</v>
      </c>
      <c r="BF40">
        <v>137300</v>
      </c>
      <c r="BG40">
        <v>138200</v>
      </c>
      <c r="BH40">
        <v>139100</v>
      </c>
      <c r="BI40">
        <v>140000</v>
      </c>
      <c r="BJ40">
        <v>141000</v>
      </c>
      <c r="BK40">
        <v>142100</v>
      </c>
      <c r="BL40">
        <v>143400</v>
      </c>
      <c r="BM40">
        <v>144700</v>
      </c>
      <c r="BN40">
        <v>146000</v>
      </c>
      <c r="BO40">
        <v>147300</v>
      </c>
      <c r="BP40">
        <v>148600</v>
      </c>
      <c r="BQ40">
        <v>150000</v>
      </c>
      <c r="BR40">
        <v>151800</v>
      </c>
      <c r="BS40">
        <v>154100</v>
      </c>
      <c r="BT40">
        <v>157000</v>
      </c>
      <c r="BU40">
        <v>160200</v>
      </c>
      <c r="BV40">
        <v>163400</v>
      </c>
      <c r="BW40">
        <v>166400</v>
      </c>
      <c r="BX40">
        <v>169100</v>
      </c>
      <c r="BY40">
        <v>171400</v>
      </c>
      <c r="BZ40">
        <v>173900</v>
      </c>
      <c r="CA40">
        <v>176700</v>
      </c>
      <c r="CB40">
        <v>179300</v>
      </c>
      <c r="CC40">
        <v>181800</v>
      </c>
      <c r="CD40">
        <v>184000</v>
      </c>
      <c r="CE40">
        <v>185800</v>
      </c>
      <c r="CF40">
        <v>187100</v>
      </c>
      <c r="CG40">
        <v>187900</v>
      </c>
      <c r="CH40">
        <v>188400</v>
      </c>
      <c r="CI40">
        <v>188900</v>
      </c>
      <c r="CJ40">
        <v>189200</v>
      </c>
      <c r="CK40">
        <v>189400</v>
      </c>
      <c r="CL40">
        <v>189700</v>
      </c>
      <c r="CM40">
        <v>190200</v>
      </c>
      <c r="CN40">
        <v>190400</v>
      </c>
      <c r="CO40">
        <v>190500</v>
      </c>
      <c r="CP40">
        <v>190500</v>
      </c>
      <c r="CQ40">
        <v>190600</v>
      </c>
      <c r="CR40">
        <v>190800</v>
      </c>
      <c r="CS40">
        <v>191000</v>
      </c>
      <c r="CT40">
        <v>191300</v>
      </c>
      <c r="CU40">
        <v>191600</v>
      </c>
      <c r="CV40">
        <v>191800</v>
      </c>
      <c r="CW40">
        <v>191700</v>
      </c>
      <c r="CX40">
        <v>191700</v>
      </c>
      <c r="CY40">
        <v>191400</v>
      </c>
      <c r="CZ40">
        <v>190700</v>
      </c>
      <c r="DA40">
        <v>189500</v>
      </c>
      <c r="DB40">
        <v>188200</v>
      </c>
      <c r="DC40">
        <v>186600</v>
      </c>
      <c r="DD40">
        <v>185000</v>
      </c>
      <c r="DE40">
        <v>183400</v>
      </c>
      <c r="DF40">
        <v>181900</v>
      </c>
      <c r="DG40">
        <v>180500</v>
      </c>
      <c r="DH40">
        <v>179200</v>
      </c>
      <c r="DI40">
        <v>177900</v>
      </c>
      <c r="DJ40">
        <v>176700</v>
      </c>
      <c r="DK40">
        <v>175700</v>
      </c>
      <c r="DL40">
        <v>174300</v>
      </c>
      <c r="DM40">
        <v>172500</v>
      </c>
      <c r="DN40">
        <v>170900</v>
      </c>
      <c r="DO40">
        <v>169400</v>
      </c>
      <c r="DP40">
        <v>168100</v>
      </c>
      <c r="DQ40">
        <v>166900</v>
      </c>
      <c r="DR40">
        <v>165900</v>
      </c>
      <c r="DS40">
        <v>165300</v>
      </c>
      <c r="DT40">
        <v>164900</v>
      </c>
      <c r="DU40">
        <v>165200</v>
      </c>
      <c r="DV40">
        <v>164100</v>
      </c>
      <c r="DW40">
        <v>161500</v>
      </c>
      <c r="DX40">
        <v>159400</v>
      </c>
      <c r="DY40">
        <v>158600</v>
      </c>
      <c r="DZ40">
        <v>157400</v>
      </c>
      <c r="EA40">
        <v>156200</v>
      </c>
      <c r="EB40">
        <v>155100</v>
      </c>
      <c r="EC40">
        <v>154100</v>
      </c>
      <c r="ED40">
        <v>152700</v>
      </c>
      <c r="EE40">
        <v>150900</v>
      </c>
      <c r="EF40">
        <v>149600</v>
      </c>
      <c r="EG40">
        <v>148100</v>
      </c>
      <c r="EH40">
        <v>146200</v>
      </c>
      <c r="EI40">
        <v>145000</v>
      </c>
      <c r="EJ40">
        <v>144500</v>
      </c>
      <c r="EK40">
        <v>143700</v>
      </c>
      <c r="EL40">
        <v>143300</v>
      </c>
      <c r="EM40">
        <v>143100</v>
      </c>
      <c r="EN40">
        <v>142900</v>
      </c>
      <c r="EO40">
        <v>142400</v>
      </c>
      <c r="EP40">
        <v>142200</v>
      </c>
      <c r="EQ40">
        <v>141900</v>
      </c>
      <c r="ER40">
        <v>141400</v>
      </c>
      <c r="ES40">
        <v>141000</v>
      </c>
      <c r="ET40">
        <v>141200</v>
      </c>
      <c r="EU40">
        <v>141600</v>
      </c>
      <c r="EV40">
        <v>142300</v>
      </c>
      <c r="EW40">
        <v>143000</v>
      </c>
      <c r="EX40">
        <v>143800</v>
      </c>
      <c r="EY40">
        <v>144500</v>
      </c>
      <c r="EZ40">
        <v>145400</v>
      </c>
      <c r="FA40">
        <v>146400</v>
      </c>
      <c r="FB40">
        <v>147400</v>
      </c>
      <c r="FC40">
        <v>148400</v>
      </c>
      <c r="FD40">
        <v>149000</v>
      </c>
      <c r="FE40">
        <v>149500</v>
      </c>
      <c r="FF40">
        <v>150500</v>
      </c>
      <c r="FG40">
        <v>151800</v>
      </c>
      <c r="FH40">
        <v>153100</v>
      </c>
      <c r="FI40">
        <v>154700</v>
      </c>
      <c r="FJ40">
        <v>156400</v>
      </c>
      <c r="FK40">
        <v>157900</v>
      </c>
      <c r="FL40">
        <v>159100</v>
      </c>
      <c r="FM40">
        <v>160200</v>
      </c>
      <c r="FN40">
        <v>161400</v>
      </c>
      <c r="FO40">
        <v>162800</v>
      </c>
      <c r="FP40">
        <v>163800</v>
      </c>
      <c r="FQ40">
        <v>164600</v>
      </c>
      <c r="FR40">
        <v>165900</v>
      </c>
      <c r="FS40">
        <v>167300</v>
      </c>
      <c r="FT40">
        <v>168200</v>
      </c>
      <c r="FU40">
        <v>168600</v>
      </c>
      <c r="FV40">
        <v>168900</v>
      </c>
      <c r="FW40">
        <v>169100</v>
      </c>
      <c r="FX40">
        <v>169400</v>
      </c>
      <c r="FY40">
        <v>170000</v>
      </c>
      <c r="FZ40">
        <v>170900</v>
      </c>
      <c r="GA40">
        <v>171900</v>
      </c>
      <c r="GB40">
        <v>172700</v>
      </c>
      <c r="GC40">
        <v>173400</v>
      </c>
      <c r="GD40">
        <v>174300</v>
      </c>
      <c r="GE40">
        <v>175500</v>
      </c>
      <c r="GF40">
        <v>176300</v>
      </c>
      <c r="GG40">
        <v>176900</v>
      </c>
      <c r="GH40">
        <v>177600</v>
      </c>
      <c r="GI40">
        <v>178400</v>
      </c>
      <c r="GJ40">
        <v>179400</v>
      </c>
      <c r="GK40">
        <v>180300</v>
      </c>
      <c r="GL40">
        <v>181500</v>
      </c>
      <c r="GM40">
        <v>182700</v>
      </c>
      <c r="GN40">
        <v>184200</v>
      </c>
      <c r="GO40">
        <v>185700</v>
      </c>
      <c r="GP40">
        <v>187000</v>
      </c>
      <c r="GQ40">
        <v>188200</v>
      </c>
      <c r="GR40">
        <v>189200</v>
      </c>
      <c r="GS40">
        <v>190300</v>
      </c>
      <c r="GT40">
        <v>191600</v>
      </c>
      <c r="GU40">
        <v>193000</v>
      </c>
      <c r="GV40">
        <v>194100</v>
      </c>
      <c r="GW40">
        <v>195300</v>
      </c>
      <c r="GX40">
        <v>196800</v>
      </c>
      <c r="GY40">
        <v>198200</v>
      </c>
      <c r="GZ40">
        <v>199700</v>
      </c>
      <c r="HA40">
        <v>201300</v>
      </c>
      <c r="HB40">
        <v>203300</v>
      </c>
      <c r="HC40">
        <v>205200</v>
      </c>
      <c r="HD40">
        <v>207000</v>
      </c>
      <c r="HE40">
        <v>208300</v>
      </c>
      <c r="HF40">
        <v>209600</v>
      </c>
      <c r="HG40">
        <v>211600</v>
      </c>
      <c r="HH40">
        <v>213800</v>
      </c>
      <c r="HI40">
        <v>215800</v>
      </c>
      <c r="HJ40">
        <v>217600</v>
      </c>
      <c r="HK40">
        <v>219200</v>
      </c>
      <c r="HL40">
        <v>221000</v>
      </c>
      <c r="HM40">
        <v>223300</v>
      </c>
      <c r="HN40">
        <v>225400</v>
      </c>
      <c r="HO40">
        <v>227600</v>
      </c>
      <c r="HP40">
        <v>230400</v>
      </c>
      <c r="HQ40">
        <v>233400</v>
      </c>
      <c r="HR40">
        <v>236300</v>
      </c>
      <c r="HS40">
        <v>239100</v>
      </c>
      <c r="HT40">
        <v>241300</v>
      </c>
    </row>
    <row r="41" spans="1:228" x14ac:dyDescent="0.3">
      <c r="A41">
        <v>18</v>
      </c>
      <c r="B41" t="s">
        <v>267</v>
      </c>
      <c r="C41">
        <v>40</v>
      </c>
      <c r="D41">
        <v>206100</v>
      </c>
      <c r="E41">
        <v>207700</v>
      </c>
      <c r="F41">
        <v>209300</v>
      </c>
      <c r="G41">
        <v>210700</v>
      </c>
      <c r="H41">
        <v>212200</v>
      </c>
      <c r="I41">
        <v>213500</v>
      </c>
      <c r="J41">
        <v>214600</v>
      </c>
      <c r="K41">
        <v>215500</v>
      </c>
      <c r="L41">
        <v>216100</v>
      </c>
      <c r="M41">
        <v>216700</v>
      </c>
      <c r="N41">
        <v>217300</v>
      </c>
      <c r="O41">
        <v>217900</v>
      </c>
      <c r="P41">
        <v>218600</v>
      </c>
      <c r="Q41">
        <v>219300</v>
      </c>
      <c r="R41">
        <v>219900</v>
      </c>
      <c r="S41">
        <v>220500</v>
      </c>
      <c r="T41">
        <v>221200</v>
      </c>
      <c r="U41">
        <v>222100</v>
      </c>
      <c r="V41">
        <v>223100</v>
      </c>
      <c r="W41">
        <v>224200</v>
      </c>
      <c r="X41">
        <v>225500</v>
      </c>
      <c r="Y41">
        <v>226800</v>
      </c>
      <c r="Z41">
        <v>228200</v>
      </c>
      <c r="AA41">
        <v>229800</v>
      </c>
      <c r="AB41">
        <v>231600</v>
      </c>
      <c r="AC41">
        <v>233400</v>
      </c>
      <c r="AD41">
        <v>235200</v>
      </c>
      <c r="AE41">
        <v>237000</v>
      </c>
      <c r="AF41">
        <v>238900</v>
      </c>
      <c r="AG41">
        <v>240900</v>
      </c>
      <c r="AH41">
        <v>242900</v>
      </c>
      <c r="AI41">
        <v>245300</v>
      </c>
      <c r="AJ41">
        <v>247800</v>
      </c>
      <c r="AK41">
        <v>250500</v>
      </c>
      <c r="AL41">
        <v>253400</v>
      </c>
      <c r="AM41">
        <v>256500</v>
      </c>
      <c r="AN41">
        <v>259800</v>
      </c>
      <c r="AO41">
        <v>263300</v>
      </c>
      <c r="AP41">
        <v>267100</v>
      </c>
      <c r="AQ41">
        <v>270900</v>
      </c>
      <c r="AR41">
        <v>274800</v>
      </c>
      <c r="AS41">
        <v>278900</v>
      </c>
      <c r="AT41">
        <v>283400</v>
      </c>
      <c r="AU41">
        <v>288500</v>
      </c>
      <c r="AV41">
        <v>294100</v>
      </c>
      <c r="AW41">
        <v>300100</v>
      </c>
      <c r="AX41">
        <v>306200</v>
      </c>
      <c r="AY41">
        <v>312500</v>
      </c>
      <c r="AZ41">
        <v>318800</v>
      </c>
      <c r="BA41">
        <v>325500</v>
      </c>
      <c r="BB41">
        <v>332800</v>
      </c>
      <c r="BC41">
        <v>340700</v>
      </c>
      <c r="BD41">
        <v>349300</v>
      </c>
      <c r="BE41">
        <v>358600</v>
      </c>
      <c r="BF41">
        <v>368200</v>
      </c>
      <c r="BG41">
        <v>377700</v>
      </c>
      <c r="BH41">
        <v>387000</v>
      </c>
      <c r="BI41">
        <v>396100</v>
      </c>
      <c r="BJ41">
        <v>404800</v>
      </c>
      <c r="BK41">
        <v>413200</v>
      </c>
      <c r="BL41">
        <v>421300</v>
      </c>
      <c r="BM41">
        <v>429300</v>
      </c>
      <c r="BN41">
        <v>437700</v>
      </c>
      <c r="BO41">
        <v>446800</v>
      </c>
      <c r="BP41">
        <v>456200</v>
      </c>
      <c r="BQ41">
        <v>465600</v>
      </c>
      <c r="BR41">
        <v>474600</v>
      </c>
      <c r="BS41">
        <v>482800</v>
      </c>
      <c r="BT41">
        <v>490100</v>
      </c>
      <c r="BU41">
        <v>496800</v>
      </c>
      <c r="BV41">
        <v>503200</v>
      </c>
      <c r="BW41">
        <v>509400</v>
      </c>
      <c r="BX41">
        <v>515300</v>
      </c>
      <c r="BY41">
        <v>520400</v>
      </c>
      <c r="BZ41">
        <v>524900</v>
      </c>
      <c r="CA41">
        <v>528500</v>
      </c>
      <c r="CB41">
        <v>531400</v>
      </c>
      <c r="CC41">
        <v>533600</v>
      </c>
      <c r="CD41">
        <v>535400</v>
      </c>
      <c r="CE41">
        <v>536600</v>
      </c>
      <c r="CF41">
        <v>537100</v>
      </c>
      <c r="CG41">
        <v>536900</v>
      </c>
      <c r="CH41">
        <v>535900</v>
      </c>
      <c r="CI41">
        <v>534700</v>
      </c>
      <c r="CJ41">
        <v>533600</v>
      </c>
      <c r="CK41">
        <v>532500</v>
      </c>
      <c r="CL41">
        <v>531200</v>
      </c>
      <c r="CM41">
        <v>529700</v>
      </c>
      <c r="CN41">
        <v>528000</v>
      </c>
      <c r="CO41">
        <v>526400</v>
      </c>
      <c r="CP41">
        <v>525000</v>
      </c>
      <c r="CQ41">
        <v>523600</v>
      </c>
      <c r="CR41">
        <v>522300</v>
      </c>
      <c r="CS41">
        <v>521100</v>
      </c>
      <c r="CT41">
        <v>519800</v>
      </c>
      <c r="CU41">
        <v>518100</v>
      </c>
      <c r="CV41">
        <v>515700</v>
      </c>
      <c r="CW41">
        <v>512800</v>
      </c>
      <c r="CX41">
        <v>509200</v>
      </c>
      <c r="CY41">
        <v>505100</v>
      </c>
      <c r="CZ41">
        <v>500300</v>
      </c>
      <c r="DA41">
        <v>495400</v>
      </c>
      <c r="DB41">
        <v>490200</v>
      </c>
      <c r="DC41">
        <v>485000</v>
      </c>
      <c r="DD41">
        <v>479900</v>
      </c>
      <c r="DE41">
        <v>474900</v>
      </c>
      <c r="DF41">
        <v>469800</v>
      </c>
      <c r="DG41">
        <v>464600</v>
      </c>
      <c r="DH41">
        <v>459500</v>
      </c>
      <c r="DI41">
        <v>454600</v>
      </c>
      <c r="DJ41">
        <v>449700</v>
      </c>
      <c r="DK41">
        <v>444700</v>
      </c>
      <c r="DL41">
        <v>439400</v>
      </c>
      <c r="DM41">
        <v>434500</v>
      </c>
      <c r="DN41">
        <v>430400</v>
      </c>
      <c r="DO41">
        <v>427200</v>
      </c>
      <c r="DP41">
        <v>424900</v>
      </c>
      <c r="DQ41">
        <v>423500</v>
      </c>
      <c r="DR41">
        <v>422800</v>
      </c>
      <c r="DS41">
        <v>422500</v>
      </c>
      <c r="DT41">
        <v>422400</v>
      </c>
      <c r="DU41">
        <v>422300</v>
      </c>
      <c r="DV41">
        <v>422900</v>
      </c>
      <c r="DW41">
        <v>423600</v>
      </c>
      <c r="DX41">
        <v>423600</v>
      </c>
      <c r="DY41">
        <v>423100</v>
      </c>
      <c r="DZ41">
        <v>422900</v>
      </c>
      <c r="EA41">
        <v>422000</v>
      </c>
      <c r="EB41">
        <v>420800</v>
      </c>
      <c r="EC41">
        <v>419400</v>
      </c>
      <c r="ED41">
        <v>418100</v>
      </c>
      <c r="EE41">
        <v>416500</v>
      </c>
      <c r="EF41">
        <v>415100</v>
      </c>
      <c r="EG41">
        <v>413900</v>
      </c>
      <c r="EH41">
        <v>411900</v>
      </c>
      <c r="EI41">
        <v>410000</v>
      </c>
      <c r="EJ41">
        <v>409300</v>
      </c>
      <c r="EK41">
        <v>408600</v>
      </c>
      <c r="EL41">
        <v>406600</v>
      </c>
      <c r="EM41">
        <v>404700</v>
      </c>
      <c r="EN41">
        <v>402900</v>
      </c>
      <c r="EO41">
        <v>401700</v>
      </c>
      <c r="EP41">
        <v>401700</v>
      </c>
      <c r="EQ41">
        <v>401900</v>
      </c>
      <c r="ER41">
        <v>402200</v>
      </c>
      <c r="ES41">
        <v>403700</v>
      </c>
      <c r="ET41">
        <v>406100</v>
      </c>
      <c r="EU41">
        <v>408000</v>
      </c>
      <c r="EV41">
        <v>409800</v>
      </c>
      <c r="EW41">
        <v>411900</v>
      </c>
      <c r="EX41">
        <v>414600</v>
      </c>
      <c r="EY41">
        <v>417600</v>
      </c>
      <c r="EZ41">
        <v>420400</v>
      </c>
      <c r="FA41">
        <v>422200</v>
      </c>
      <c r="FB41">
        <v>423800</v>
      </c>
      <c r="FC41">
        <v>426200</v>
      </c>
      <c r="FD41">
        <v>429000</v>
      </c>
      <c r="FE41">
        <v>431800</v>
      </c>
      <c r="FF41">
        <v>434600</v>
      </c>
      <c r="FG41">
        <v>438200</v>
      </c>
      <c r="FH41">
        <v>442100</v>
      </c>
      <c r="FI41">
        <v>446000</v>
      </c>
      <c r="FJ41">
        <v>449400</v>
      </c>
      <c r="FK41">
        <v>452500</v>
      </c>
      <c r="FL41">
        <v>456100</v>
      </c>
      <c r="FM41">
        <v>460100</v>
      </c>
      <c r="FN41">
        <v>462300</v>
      </c>
      <c r="FO41">
        <v>464900</v>
      </c>
      <c r="FP41">
        <v>468300</v>
      </c>
      <c r="FQ41">
        <v>470400</v>
      </c>
      <c r="FR41">
        <v>472000</v>
      </c>
      <c r="FS41">
        <v>474900</v>
      </c>
      <c r="FT41">
        <v>478100</v>
      </c>
      <c r="FU41">
        <v>481100</v>
      </c>
      <c r="FV41">
        <v>484500</v>
      </c>
      <c r="FW41">
        <v>487900</v>
      </c>
      <c r="FX41">
        <v>490900</v>
      </c>
      <c r="FY41">
        <v>494200</v>
      </c>
      <c r="FZ41">
        <v>497600</v>
      </c>
      <c r="GA41">
        <v>500700</v>
      </c>
      <c r="GB41">
        <v>502400</v>
      </c>
      <c r="GC41">
        <v>503300</v>
      </c>
      <c r="GD41">
        <v>504500</v>
      </c>
      <c r="GE41">
        <v>505800</v>
      </c>
      <c r="GF41">
        <v>506100</v>
      </c>
      <c r="GG41">
        <v>506400</v>
      </c>
      <c r="GH41">
        <v>508100</v>
      </c>
      <c r="GI41">
        <v>511600</v>
      </c>
      <c r="GJ41">
        <v>515200</v>
      </c>
      <c r="GK41">
        <v>518700</v>
      </c>
      <c r="GL41">
        <v>522300</v>
      </c>
      <c r="GM41">
        <v>525300</v>
      </c>
      <c r="GN41">
        <v>528700</v>
      </c>
      <c r="GO41">
        <v>533300</v>
      </c>
      <c r="GP41">
        <v>537900</v>
      </c>
      <c r="GQ41">
        <v>541500</v>
      </c>
      <c r="GR41">
        <v>545000</v>
      </c>
      <c r="GS41">
        <v>548400</v>
      </c>
      <c r="GT41">
        <v>551700</v>
      </c>
      <c r="GU41">
        <v>554300</v>
      </c>
      <c r="GV41">
        <v>556600</v>
      </c>
      <c r="GW41">
        <v>559200</v>
      </c>
      <c r="GX41">
        <v>563200</v>
      </c>
      <c r="GY41">
        <v>567200</v>
      </c>
      <c r="GZ41">
        <v>568900</v>
      </c>
      <c r="HA41">
        <v>569200</v>
      </c>
      <c r="HB41">
        <v>569900</v>
      </c>
      <c r="HC41">
        <v>571300</v>
      </c>
      <c r="HD41">
        <v>572800</v>
      </c>
      <c r="HE41">
        <v>574600</v>
      </c>
      <c r="HF41">
        <v>576100</v>
      </c>
      <c r="HG41">
        <v>577800</v>
      </c>
      <c r="HH41">
        <v>580200</v>
      </c>
      <c r="HI41">
        <v>583400</v>
      </c>
      <c r="HJ41">
        <v>586200</v>
      </c>
      <c r="HK41">
        <v>589300</v>
      </c>
      <c r="HL41">
        <v>593800</v>
      </c>
      <c r="HM41">
        <v>599600</v>
      </c>
      <c r="HN41">
        <v>603500</v>
      </c>
      <c r="HO41">
        <v>606500</v>
      </c>
      <c r="HP41">
        <v>610000</v>
      </c>
      <c r="HQ41">
        <v>613500</v>
      </c>
      <c r="HR41">
        <v>616000</v>
      </c>
      <c r="HS41">
        <v>617900</v>
      </c>
      <c r="HT41">
        <v>619000</v>
      </c>
    </row>
    <row r="42" spans="1:228" x14ac:dyDescent="0.3">
      <c r="A42">
        <v>28</v>
      </c>
      <c r="B42" t="s">
        <v>268</v>
      </c>
      <c r="C42">
        <v>41</v>
      </c>
      <c r="D42">
        <v>101800</v>
      </c>
      <c r="E42">
        <v>102900</v>
      </c>
      <c r="F42">
        <v>104000</v>
      </c>
      <c r="G42">
        <v>105100</v>
      </c>
      <c r="H42">
        <v>106200</v>
      </c>
      <c r="I42">
        <v>107400</v>
      </c>
      <c r="J42">
        <v>108600</v>
      </c>
      <c r="K42">
        <v>110000</v>
      </c>
      <c r="L42">
        <v>111400</v>
      </c>
      <c r="M42">
        <v>112900</v>
      </c>
      <c r="N42">
        <v>114500</v>
      </c>
      <c r="O42">
        <v>116100</v>
      </c>
      <c r="P42">
        <v>117700</v>
      </c>
      <c r="Q42">
        <v>119200</v>
      </c>
      <c r="R42">
        <v>120800</v>
      </c>
      <c r="S42">
        <v>122200</v>
      </c>
      <c r="T42">
        <v>123600</v>
      </c>
      <c r="U42">
        <v>124900</v>
      </c>
      <c r="V42">
        <v>126100</v>
      </c>
      <c r="W42">
        <v>127200</v>
      </c>
      <c r="X42">
        <v>128200</v>
      </c>
      <c r="Y42">
        <v>129100</v>
      </c>
      <c r="Z42">
        <v>130000</v>
      </c>
      <c r="AA42">
        <v>130900</v>
      </c>
      <c r="AB42">
        <v>131900</v>
      </c>
      <c r="AC42">
        <v>133000</v>
      </c>
      <c r="AD42">
        <v>134200</v>
      </c>
      <c r="AE42">
        <v>135400</v>
      </c>
      <c r="AF42">
        <v>136600</v>
      </c>
      <c r="AG42">
        <v>137900</v>
      </c>
      <c r="AH42">
        <v>139100</v>
      </c>
      <c r="AI42">
        <v>140300</v>
      </c>
      <c r="AJ42">
        <v>141500</v>
      </c>
      <c r="AK42">
        <v>142800</v>
      </c>
      <c r="AL42">
        <v>144000</v>
      </c>
      <c r="AM42">
        <v>145200</v>
      </c>
      <c r="AN42">
        <v>146300</v>
      </c>
      <c r="AO42">
        <v>147600</v>
      </c>
      <c r="AP42">
        <v>149000</v>
      </c>
      <c r="AQ42">
        <v>150400</v>
      </c>
      <c r="AR42">
        <v>152000</v>
      </c>
      <c r="AS42">
        <v>153600</v>
      </c>
      <c r="AT42">
        <v>155400</v>
      </c>
      <c r="AU42">
        <v>157400</v>
      </c>
      <c r="AV42">
        <v>159300</v>
      </c>
      <c r="AW42">
        <v>161200</v>
      </c>
      <c r="AX42">
        <v>162900</v>
      </c>
      <c r="AY42">
        <v>164500</v>
      </c>
      <c r="AZ42">
        <v>166100</v>
      </c>
      <c r="BA42">
        <v>167800</v>
      </c>
      <c r="BB42">
        <v>169700</v>
      </c>
      <c r="BC42">
        <v>171800</v>
      </c>
      <c r="BD42">
        <v>174000</v>
      </c>
      <c r="BE42">
        <v>176200</v>
      </c>
      <c r="BF42">
        <v>178100</v>
      </c>
      <c r="BG42">
        <v>179600</v>
      </c>
      <c r="BH42">
        <v>180900</v>
      </c>
      <c r="BI42">
        <v>182300</v>
      </c>
      <c r="BJ42">
        <v>184100</v>
      </c>
      <c r="BK42">
        <v>186600</v>
      </c>
      <c r="BL42">
        <v>189400</v>
      </c>
      <c r="BM42">
        <v>192100</v>
      </c>
      <c r="BN42">
        <v>194300</v>
      </c>
      <c r="BO42">
        <v>196200</v>
      </c>
      <c r="BP42">
        <v>197800</v>
      </c>
      <c r="BQ42">
        <v>199100</v>
      </c>
      <c r="BR42">
        <v>200000</v>
      </c>
      <c r="BS42">
        <v>200600</v>
      </c>
      <c r="BT42">
        <v>201200</v>
      </c>
      <c r="BU42">
        <v>201700</v>
      </c>
      <c r="BV42">
        <v>201900</v>
      </c>
      <c r="BW42">
        <v>201800</v>
      </c>
      <c r="BX42">
        <v>201700</v>
      </c>
      <c r="BY42">
        <v>201600</v>
      </c>
      <c r="BZ42">
        <v>201600</v>
      </c>
      <c r="CA42">
        <v>201700</v>
      </c>
      <c r="CB42">
        <v>201700</v>
      </c>
      <c r="CC42">
        <v>201700</v>
      </c>
      <c r="CD42">
        <v>201600</v>
      </c>
      <c r="CE42">
        <v>201400</v>
      </c>
      <c r="CF42">
        <v>201200</v>
      </c>
      <c r="CG42">
        <v>200900</v>
      </c>
      <c r="CH42">
        <v>200600</v>
      </c>
      <c r="CI42">
        <v>200100</v>
      </c>
      <c r="CJ42">
        <v>199700</v>
      </c>
      <c r="CK42">
        <v>199500</v>
      </c>
      <c r="CL42">
        <v>199200</v>
      </c>
      <c r="CM42">
        <v>198700</v>
      </c>
      <c r="CN42">
        <v>198300</v>
      </c>
      <c r="CO42">
        <v>198000</v>
      </c>
      <c r="CP42">
        <v>198000</v>
      </c>
      <c r="CQ42">
        <v>198000</v>
      </c>
      <c r="CR42">
        <v>198200</v>
      </c>
      <c r="CS42">
        <v>198300</v>
      </c>
      <c r="CT42">
        <v>198200</v>
      </c>
      <c r="CU42">
        <v>197800</v>
      </c>
      <c r="CV42">
        <v>196800</v>
      </c>
      <c r="CW42">
        <v>195200</v>
      </c>
      <c r="CX42">
        <v>193100</v>
      </c>
      <c r="CY42">
        <v>190700</v>
      </c>
      <c r="CZ42">
        <v>188200</v>
      </c>
      <c r="DA42">
        <v>186000</v>
      </c>
      <c r="DB42">
        <v>184100</v>
      </c>
      <c r="DC42">
        <v>182600</v>
      </c>
      <c r="DD42">
        <v>181300</v>
      </c>
      <c r="DE42">
        <v>179900</v>
      </c>
      <c r="DF42">
        <v>178600</v>
      </c>
      <c r="DG42">
        <v>177500</v>
      </c>
      <c r="DH42">
        <v>176600</v>
      </c>
      <c r="DI42">
        <v>175800</v>
      </c>
      <c r="DJ42">
        <v>175000</v>
      </c>
      <c r="DK42">
        <v>174000</v>
      </c>
      <c r="DL42">
        <v>172700</v>
      </c>
      <c r="DM42">
        <v>171600</v>
      </c>
      <c r="DN42">
        <v>170900</v>
      </c>
      <c r="DO42">
        <v>170600</v>
      </c>
      <c r="DP42">
        <v>170700</v>
      </c>
      <c r="DQ42">
        <v>170900</v>
      </c>
      <c r="DR42">
        <v>171300</v>
      </c>
      <c r="DS42">
        <v>171800</v>
      </c>
      <c r="DT42">
        <v>172300</v>
      </c>
      <c r="DU42">
        <v>172600</v>
      </c>
      <c r="DV42">
        <v>173500</v>
      </c>
      <c r="DW42">
        <v>175300</v>
      </c>
      <c r="DX42">
        <v>177000</v>
      </c>
      <c r="DY42">
        <v>177900</v>
      </c>
      <c r="DZ42">
        <v>178300</v>
      </c>
      <c r="EA42">
        <v>178300</v>
      </c>
      <c r="EB42">
        <v>177700</v>
      </c>
      <c r="EC42">
        <v>177000</v>
      </c>
      <c r="ED42">
        <v>175900</v>
      </c>
      <c r="EE42">
        <v>174700</v>
      </c>
      <c r="EF42">
        <v>173400</v>
      </c>
      <c r="EG42">
        <v>172000</v>
      </c>
      <c r="EH42">
        <v>170400</v>
      </c>
      <c r="EI42">
        <v>169200</v>
      </c>
      <c r="EJ42">
        <v>168400</v>
      </c>
      <c r="EK42">
        <v>168200</v>
      </c>
      <c r="EL42">
        <v>168200</v>
      </c>
      <c r="EM42">
        <v>168000</v>
      </c>
      <c r="EN42">
        <v>168100</v>
      </c>
      <c r="EO42">
        <v>168300</v>
      </c>
      <c r="EP42">
        <v>168400</v>
      </c>
      <c r="EQ42">
        <v>168300</v>
      </c>
      <c r="ER42">
        <v>168400</v>
      </c>
      <c r="ES42">
        <v>168600</v>
      </c>
      <c r="ET42">
        <v>168700</v>
      </c>
      <c r="EU42">
        <v>168900</v>
      </c>
      <c r="EV42">
        <v>169400</v>
      </c>
      <c r="EW42">
        <v>169900</v>
      </c>
      <c r="EX42">
        <v>170200</v>
      </c>
      <c r="EY42">
        <v>170500</v>
      </c>
      <c r="EZ42">
        <v>171100</v>
      </c>
      <c r="FA42">
        <v>171700</v>
      </c>
      <c r="FB42">
        <v>172400</v>
      </c>
      <c r="FC42">
        <v>173100</v>
      </c>
      <c r="FD42">
        <v>173800</v>
      </c>
      <c r="FE42">
        <v>174700</v>
      </c>
      <c r="FF42">
        <v>175500</v>
      </c>
      <c r="FG42">
        <v>175900</v>
      </c>
      <c r="FH42">
        <v>176000</v>
      </c>
      <c r="FI42">
        <v>175700</v>
      </c>
      <c r="FJ42">
        <v>175600</v>
      </c>
      <c r="FK42">
        <v>175900</v>
      </c>
      <c r="FL42">
        <v>176300</v>
      </c>
      <c r="FM42">
        <v>176400</v>
      </c>
      <c r="FN42">
        <v>176600</v>
      </c>
      <c r="FO42">
        <v>176800</v>
      </c>
      <c r="FP42">
        <v>177200</v>
      </c>
      <c r="FQ42">
        <v>177900</v>
      </c>
      <c r="FR42">
        <v>178800</v>
      </c>
      <c r="FS42">
        <v>179800</v>
      </c>
      <c r="FT42">
        <v>180900</v>
      </c>
      <c r="FU42">
        <v>182200</v>
      </c>
      <c r="FV42">
        <v>182900</v>
      </c>
      <c r="FW42">
        <v>182600</v>
      </c>
      <c r="FX42">
        <v>182000</v>
      </c>
      <c r="FY42">
        <v>181900</v>
      </c>
      <c r="FZ42">
        <v>182200</v>
      </c>
      <c r="GA42">
        <v>182600</v>
      </c>
      <c r="GB42">
        <v>183200</v>
      </c>
      <c r="GC42">
        <v>183900</v>
      </c>
      <c r="GD42">
        <v>184700</v>
      </c>
      <c r="GE42">
        <v>185000</v>
      </c>
      <c r="GF42">
        <v>185000</v>
      </c>
      <c r="GG42">
        <v>185100</v>
      </c>
      <c r="GH42">
        <v>185300</v>
      </c>
      <c r="GI42">
        <v>185500</v>
      </c>
      <c r="GJ42">
        <v>185700</v>
      </c>
      <c r="GK42">
        <v>186200</v>
      </c>
      <c r="GL42">
        <v>186800</v>
      </c>
      <c r="GM42">
        <v>187400</v>
      </c>
      <c r="GN42">
        <v>187900</v>
      </c>
      <c r="GO42">
        <v>188800</v>
      </c>
      <c r="GP42">
        <v>189800</v>
      </c>
      <c r="GQ42">
        <v>190600</v>
      </c>
      <c r="GR42">
        <v>191700</v>
      </c>
      <c r="GS42">
        <v>193300</v>
      </c>
      <c r="GT42">
        <v>194900</v>
      </c>
      <c r="GU42">
        <v>196300</v>
      </c>
      <c r="GV42">
        <v>197600</v>
      </c>
      <c r="GW42">
        <v>198900</v>
      </c>
      <c r="GX42">
        <v>200100</v>
      </c>
      <c r="GY42">
        <v>201700</v>
      </c>
      <c r="GZ42">
        <v>203100</v>
      </c>
      <c r="HA42">
        <v>203800</v>
      </c>
      <c r="HB42">
        <v>204700</v>
      </c>
      <c r="HC42">
        <v>206000</v>
      </c>
      <c r="HD42">
        <v>207000</v>
      </c>
      <c r="HE42">
        <v>208000</v>
      </c>
      <c r="HF42">
        <v>208800</v>
      </c>
      <c r="HG42">
        <v>209500</v>
      </c>
      <c r="HH42">
        <v>210400</v>
      </c>
      <c r="HI42">
        <v>212100</v>
      </c>
      <c r="HJ42">
        <v>214600</v>
      </c>
      <c r="HK42">
        <v>216600</v>
      </c>
      <c r="HL42">
        <v>218000</v>
      </c>
      <c r="HM42">
        <v>219400</v>
      </c>
      <c r="HN42">
        <v>220500</v>
      </c>
      <c r="HO42">
        <v>221200</v>
      </c>
      <c r="HP42">
        <v>221700</v>
      </c>
      <c r="HQ42">
        <v>221900</v>
      </c>
      <c r="HR42">
        <v>223200</v>
      </c>
      <c r="HS42">
        <v>225900</v>
      </c>
      <c r="HT42">
        <v>228400</v>
      </c>
    </row>
    <row r="43" spans="1:228" x14ac:dyDescent="0.3">
      <c r="A43">
        <v>39</v>
      </c>
      <c r="B43" t="s">
        <v>269</v>
      </c>
      <c r="C43">
        <v>42</v>
      </c>
      <c r="D43">
        <v>132100</v>
      </c>
      <c r="E43">
        <v>133700</v>
      </c>
      <c r="F43">
        <v>135200</v>
      </c>
      <c r="G43">
        <v>136700</v>
      </c>
      <c r="H43">
        <v>138100</v>
      </c>
      <c r="I43">
        <v>139600</v>
      </c>
      <c r="J43">
        <v>141100</v>
      </c>
      <c r="K43">
        <v>142600</v>
      </c>
      <c r="L43">
        <v>144100</v>
      </c>
      <c r="M43">
        <v>145600</v>
      </c>
      <c r="N43">
        <v>147300</v>
      </c>
      <c r="O43">
        <v>149000</v>
      </c>
      <c r="P43">
        <v>150700</v>
      </c>
      <c r="Q43">
        <v>152400</v>
      </c>
      <c r="R43">
        <v>154200</v>
      </c>
      <c r="S43">
        <v>155900</v>
      </c>
      <c r="T43">
        <v>157700</v>
      </c>
      <c r="U43">
        <v>159500</v>
      </c>
      <c r="V43">
        <v>161300</v>
      </c>
      <c r="W43">
        <v>163000</v>
      </c>
      <c r="X43">
        <v>164700</v>
      </c>
      <c r="Y43">
        <v>166400</v>
      </c>
      <c r="Z43">
        <v>168000</v>
      </c>
      <c r="AA43">
        <v>169700</v>
      </c>
      <c r="AB43">
        <v>171300</v>
      </c>
      <c r="AC43">
        <v>172900</v>
      </c>
      <c r="AD43">
        <v>174600</v>
      </c>
      <c r="AE43">
        <v>176300</v>
      </c>
      <c r="AF43">
        <v>178000</v>
      </c>
      <c r="AG43">
        <v>179800</v>
      </c>
      <c r="AH43">
        <v>181700</v>
      </c>
      <c r="AI43">
        <v>183700</v>
      </c>
      <c r="AJ43">
        <v>185700</v>
      </c>
      <c r="AK43">
        <v>187800</v>
      </c>
      <c r="AL43">
        <v>190000</v>
      </c>
      <c r="AM43">
        <v>192300</v>
      </c>
      <c r="AN43">
        <v>194600</v>
      </c>
      <c r="AO43">
        <v>196800</v>
      </c>
      <c r="AP43">
        <v>199000</v>
      </c>
      <c r="AQ43">
        <v>201300</v>
      </c>
      <c r="AR43">
        <v>203400</v>
      </c>
      <c r="AS43">
        <v>205600</v>
      </c>
      <c r="AT43">
        <v>207800</v>
      </c>
      <c r="AU43">
        <v>210000</v>
      </c>
      <c r="AV43">
        <v>212300</v>
      </c>
      <c r="AW43">
        <v>214500</v>
      </c>
      <c r="AX43">
        <v>216500</v>
      </c>
      <c r="AY43">
        <v>218400</v>
      </c>
      <c r="AZ43">
        <v>220400</v>
      </c>
      <c r="BA43">
        <v>222400</v>
      </c>
      <c r="BB43">
        <v>224600</v>
      </c>
      <c r="BC43">
        <v>226900</v>
      </c>
      <c r="BD43">
        <v>229200</v>
      </c>
      <c r="BE43">
        <v>231500</v>
      </c>
      <c r="BF43">
        <v>233700</v>
      </c>
      <c r="BG43">
        <v>235600</v>
      </c>
      <c r="BH43">
        <v>237600</v>
      </c>
      <c r="BI43">
        <v>239600</v>
      </c>
      <c r="BJ43">
        <v>241700</v>
      </c>
      <c r="BK43">
        <v>243900</v>
      </c>
      <c r="BL43">
        <v>246200</v>
      </c>
      <c r="BM43">
        <v>248400</v>
      </c>
      <c r="BN43">
        <v>250400</v>
      </c>
      <c r="BO43">
        <v>252400</v>
      </c>
      <c r="BP43">
        <v>254100</v>
      </c>
      <c r="BQ43">
        <v>255500</v>
      </c>
      <c r="BR43">
        <v>256800</v>
      </c>
      <c r="BS43">
        <v>257800</v>
      </c>
      <c r="BT43">
        <v>258700</v>
      </c>
      <c r="BU43">
        <v>259500</v>
      </c>
      <c r="BV43">
        <v>260000</v>
      </c>
      <c r="BW43">
        <v>260300</v>
      </c>
      <c r="BX43">
        <v>260400</v>
      </c>
      <c r="BY43">
        <v>260100</v>
      </c>
      <c r="BZ43">
        <v>259800</v>
      </c>
      <c r="CA43">
        <v>259400</v>
      </c>
      <c r="CB43">
        <v>259000</v>
      </c>
      <c r="CC43">
        <v>258600</v>
      </c>
      <c r="CD43">
        <v>258200</v>
      </c>
      <c r="CE43">
        <v>257600</v>
      </c>
      <c r="CF43">
        <v>256900</v>
      </c>
      <c r="CG43">
        <v>256100</v>
      </c>
      <c r="CH43">
        <v>255300</v>
      </c>
      <c r="CI43">
        <v>254400</v>
      </c>
      <c r="CJ43">
        <v>253600</v>
      </c>
      <c r="CK43">
        <v>252900</v>
      </c>
      <c r="CL43">
        <v>252300</v>
      </c>
      <c r="CM43">
        <v>251900</v>
      </c>
      <c r="CN43">
        <v>251400</v>
      </c>
      <c r="CO43">
        <v>250800</v>
      </c>
      <c r="CP43">
        <v>249900</v>
      </c>
      <c r="CQ43">
        <v>249000</v>
      </c>
      <c r="CR43">
        <v>247900</v>
      </c>
      <c r="CS43">
        <v>246700</v>
      </c>
      <c r="CT43">
        <v>245400</v>
      </c>
      <c r="CU43">
        <v>243800</v>
      </c>
      <c r="CV43">
        <v>242200</v>
      </c>
      <c r="CW43">
        <v>240700</v>
      </c>
      <c r="CX43">
        <v>239400</v>
      </c>
      <c r="CY43">
        <v>238100</v>
      </c>
      <c r="CZ43">
        <v>236400</v>
      </c>
      <c r="DA43">
        <v>234500</v>
      </c>
      <c r="DB43">
        <v>232600</v>
      </c>
      <c r="DC43">
        <v>230800</v>
      </c>
      <c r="DD43">
        <v>229300</v>
      </c>
      <c r="DE43">
        <v>227900</v>
      </c>
      <c r="DF43">
        <v>226500</v>
      </c>
      <c r="DG43">
        <v>225100</v>
      </c>
      <c r="DH43">
        <v>223700</v>
      </c>
      <c r="DI43">
        <v>222300</v>
      </c>
      <c r="DJ43">
        <v>220900</v>
      </c>
      <c r="DK43">
        <v>219500</v>
      </c>
      <c r="DL43">
        <v>217700</v>
      </c>
      <c r="DM43">
        <v>216000</v>
      </c>
      <c r="DN43">
        <v>214600</v>
      </c>
      <c r="DO43">
        <v>213900</v>
      </c>
      <c r="DP43">
        <v>213500</v>
      </c>
      <c r="DQ43">
        <v>213400</v>
      </c>
      <c r="DR43">
        <v>213500</v>
      </c>
      <c r="DS43">
        <v>213600</v>
      </c>
      <c r="DT43">
        <v>213900</v>
      </c>
      <c r="DU43">
        <v>214100</v>
      </c>
      <c r="DV43">
        <v>214000</v>
      </c>
      <c r="DW43">
        <v>213600</v>
      </c>
      <c r="DX43">
        <v>213300</v>
      </c>
      <c r="DY43">
        <v>213200</v>
      </c>
      <c r="DZ43">
        <v>212700</v>
      </c>
      <c r="EA43">
        <v>211900</v>
      </c>
      <c r="EB43">
        <v>210600</v>
      </c>
      <c r="EC43">
        <v>209200</v>
      </c>
      <c r="ED43">
        <v>207700</v>
      </c>
      <c r="EE43">
        <v>206000</v>
      </c>
      <c r="EF43">
        <v>204400</v>
      </c>
      <c r="EG43">
        <v>203100</v>
      </c>
      <c r="EH43">
        <v>201900</v>
      </c>
      <c r="EI43">
        <v>200400</v>
      </c>
      <c r="EJ43">
        <v>199200</v>
      </c>
      <c r="EK43">
        <v>198300</v>
      </c>
      <c r="EL43">
        <v>197600</v>
      </c>
      <c r="EM43">
        <v>196900</v>
      </c>
      <c r="EN43">
        <v>196400</v>
      </c>
      <c r="EO43">
        <v>195900</v>
      </c>
      <c r="EP43">
        <v>195800</v>
      </c>
      <c r="EQ43">
        <v>196000</v>
      </c>
      <c r="ER43">
        <v>196200</v>
      </c>
      <c r="ES43">
        <v>196000</v>
      </c>
      <c r="ET43">
        <v>195800</v>
      </c>
      <c r="EU43">
        <v>195800</v>
      </c>
      <c r="EV43">
        <v>196200</v>
      </c>
      <c r="EW43">
        <v>197200</v>
      </c>
      <c r="EX43">
        <v>198000</v>
      </c>
      <c r="EY43">
        <v>198100</v>
      </c>
      <c r="EZ43">
        <v>197900</v>
      </c>
      <c r="FA43">
        <v>198100</v>
      </c>
      <c r="FB43">
        <v>198400</v>
      </c>
      <c r="FC43">
        <v>198600</v>
      </c>
      <c r="FD43">
        <v>198900</v>
      </c>
      <c r="FE43">
        <v>199600</v>
      </c>
      <c r="FF43">
        <v>200300</v>
      </c>
      <c r="FG43">
        <v>201200</v>
      </c>
      <c r="FH43">
        <v>202300</v>
      </c>
      <c r="FI43">
        <v>203200</v>
      </c>
      <c r="FJ43">
        <v>203900</v>
      </c>
      <c r="FK43">
        <v>204900</v>
      </c>
      <c r="FL43">
        <v>205900</v>
      </c>
      <c r="FM43">
        <v>206600</v>
      </c>
      <c r="FN43">
        <v>207400</v>
      </c>
      <c r="FO43">
        <v>208500</v>
      </c>
      <c r="FP43">
        <v>209600</v>
      </c>
      <c r="FQ43">
        <v>209900</v>
      </c>
      <c r="FR43">
        <v>210100</v>
      </c>
      <c r="FS43">
        <v>210600</v>
      </c>
      <c r="FT43">
        <v>210800</v>
      </c>
      <c r="FU43">
        <v>211100</v>
      </c>
      <c r="FV43">
        <v>211900</v>
      </c>
      <c r="FW43">
        <v>213000</v>
      </c>
      <c r="FX43">
        <v>214000</v>
      </c>
      <c r="FY43">
        <v>214800</v>
      </c>
      <c r="FZ43">
        <v>215500</v>
      </c>
      <c r="GA43">
        <v>215900</v>
      </c>
      <c r="GB43">
        <v>216100</v>
      </c>
      <c r="GC43">
        <v>216700</v>
      </c>
      <c r="GD43">
        <v>217700</v>
      </c>
      <c r="GE43">
        <v>219000</v>
      </c>
      <c r="GF43">
        <v>219900</v>
      </c>
      <c r="GG43">
        <v>220700</v>
      </c>
      <c r="GH43">
        <v>221300</v>
      </c>
      <c r="GI43">
        <v>222000</v>
      </c>
      <c r="GJ43">
        <v>222500</v>
      </c>
      <c r="GK43">
        <v>223500</v>
      </c>
      <c r="GL43">
        <v>224400</v>
      </c>
      <c r="GM43">
        <v>225100</v>
      </c>
      <c r="GN43">
        <v>225600</v>
      </c>
      <c r="GO43">
        <v>226200</v>
      </c>
      <c r="GP43">
        <v>226600</v>
      </c>
      <c r="GQ43">
        <v>227400</v>
      </c>
      <c r="GR43">
        <v>228300</v>
      </c>
      <c r="GS43">
        <v>229000</v>
      </c>
      <c r="GT43">
        <v>229800</v>
      </c>
      <c r="GU43">
        <v>231000</v>
      </c>
      <c r="GV43">
        <v>232400</v>
      </c>
      <c r="GW43">
        <v>233700</v>
      </c>
      <c r="GX43">
        <v>235200</v>
      </c>
      <c r="GY43">
        <v>237000</v>
      </c>
      <c r="GZ43">
        <v>238900</v>
      </c>
      <c r="HA43">
        <v>240800</v>
      </c>
      <c r="HB43">
        <v>242800</v>
      </c>
      <c r="HC43">
        <v>244500</v>
      </c>
      <c r="HD43">
        <v>246000</v>
      </c>
      <c r="HE43">
        <v>246800</v>
      </c>
      <c r="HF43">
        <v>247700</v>
      </c>
      <c r="HG43">
        <v>248900</v>
      </c>
      <c r="HH43">
        <v>250500</v>
      </c>
      <c r="HI43">
        <v>252300</v>
      </c>
      <c r="HJ43">
        <v>254000</v>
      </c>
      <c r="HK43">
        <v>255100</v>
      </c>
      <c r="HL43">
        <v>256300</v>
      </c>
      <c r="HM43">
        <v>258000</v>
      </c>
      <c r="HN43">
        <v>259700</v>
      </c>
      <c r="HO43">
        <v>261100</v>
      </c>
      <c r="HP43">
        <v>262800</v>
      </c>
      <c r="HQ43">
        <v>264800</v>
      </c>
      <c r="HR43">
        <v>266700</v>
      </c>
      <c r="HS43">
        <v>268700</v>
      </c>
      <c r="HT43">
        <v>270200</v>
      </c>
    </row>
    <row r="44" spans="1:228" x14ac:dyDescent="0.3">
      <c r="A44">
        <v>50</v>
      </c>
      <c r="B44" t="s">
        <v>270</v>
      </c>
      <c r="C44">
        <v>43</v>
      </c>
      <c r="D44">
        <v>132400</v>
      </c>
      <c r="E44">
        <v>133800</v>
      </c>
      <c r="F44">
        <v>135000</v>
      </c>
      <c r="G44">
        <v>136200</v>
      </c>
      <c r="H44">
        <v>137400</v>
      </c>
      <c r="I44">
        <v>138400</v>
      </c>
      <c r="J44">
        <v>139300</v>
      </c>
      <c r="K44">
        <v>140200</v>
      </c>
      <c r="L44">
        <v>141200</v>
      </c>
      <c r="M44">
        <v>142300</v>
      </c>
      <c r="N44">
        <v>143500</v>
      </c>
      <c r="O44">
        <v>144900</v>
      </c>
      <c r="P44">
        <v>146500</v>
      </c>
      <c r="Q44">
        <v>148200</v>
      </c>
      <c r="R44">
        <v>149900</v>
      </c>
      <c r="S44">
        <v>151700</v>
      </c>
      <c r="T44">
        <v>153500</v>
      </c>
      <c r="U44">
        <v>155400</v>
      </c>
      <c r="V44">
        <v>157400</v>
      </c>
      <c r="W44">
        <v>159600</v>
      </c>
      <c r="X44">
        <v>161700</v>
      </c>
      <c r="Y44">
        <v>164000</v>
      </c>
      <c r="Z44">
        <v>166400</v>
      </c>
      <c r="AA44">
        <v>168800</v>
      </c>
      <c r="AB44">
        <v>171300</v>
      </c>
      <c r="AC44">
        <v>173700</v>
      </c>
      <c r="AD44">
        <v>176200</v>
      </c>
      <c r="AE44">
        <v>178700</v>
      </c>
      <c r="AF44">
        <v>181300</v>
      </c>
      <c r="AG44">
        <v>184100</v>
      </c>
      <c r="AH44">
        <v>187100</v>
      </c>
      <c r="AI44">
        <v>190300</v>
      </c>
      <c r="AJ44">
        <v>193700</v>
      </c>
      <c r="AK44">
        <v>197000</v>
      </c>
      <c r="AL44">
        <v>200400</v>
      </c>
      <c r="AM44">
        <v>203700</v>
      </c>
      <c r="AN44">
        <v>206700</v>
      </c>
      <c r="AO44">
        <v>209800</v>
      </c>
      <c r="AP44">
        <v>213100</v>
      </c>
      <c r="AQ44">
        <v>216700</v>
      </c>
      <c r="AR44">
        <v>220500</v>
      </c>
      <c r="AS44">
        <v>224500</v>
      </c>
      <c r="AT44">
        <v>228500</v>
      </c>
      <c r="AU44">
        <v>232200</v>
      </c>
      <c r="AV44">
        <v>235700</v>
      </c>
      <c r="AW44">
        <v>239000</v>
      </c>
      <c r="AX44">
        <v>242300</v>
      </c>
      <c r="AY44">
        <v>245600</v>
      </c>
      <c r="AZ44">
        <v>248800</v>
      </c>
      <c r="BA44">
        <v>251900</v>
      </c>
      <c r="BB44">
        <v>255000</v>
      </c>
      <c r="BC44">
        <v>258200</v>
      </c>
      <c r="BD44">
        <v>261400</v>
      </c>
      <c r="BE44">
        <v>264600</v>
      </c>
      <c r="BF44">
        <v>267800</v>
      </c>
      <c r="BG44">
        <v>270800</v>
      </c>
      <c r="BH44">
        <v>273700</v>
      </c>
      <c r="BI44">
        <v>276600</v>
      </c>
      <c r="BJ44">
        <v>279300</v>
      </c>
      <c r="BK44">
        <v>281900</v>
      </c>
      <c r="BL44">
        <v>284600</v>
      </c>
      <c r="BM44">
        <v>287000</v>
      </c>
      <c r="BN44">
        <v>289100</v>
      </c>
      <c r="BO44">
        <v>291000</v>
      </c>
      <c r="BP44">
        <v>292600</v>
      </c>
      <c r="BQ44">
        <v>293900</v>
      </c>
      <c r="BR44">
        <v>295100</v>
      </c>
      <c r="BS44">
        <v>296000</v>
      </c>
      <c r="BT44">
        <v>296700</v>
      </c>
      <c r="BU44">
        <v>297000</v>
      </c>
      <c r="BV44">
        <v>296900</v>
      </c>
      <c r="BW44">
        <v>296500</v>
      </c>
      <c r="BX44">
        <v>296100</v>
      </c>
      <c r="BY44">
        <v>295900</v>
      </c>
      <c r="BZ44">
        <v>295700</v>
      </c>
      <c r="CA44">
        <v>295500</v>
      </c>
      <c r="CB44">
        <v>295200</v>
      </c>
      <c r="CC44">
        <v>294700</v>
      </c>
      <c r="CD44">
        <v>293900</v>
      </c>
      <c r="CE44">
        <v>292900</v>
      </c>
      <c r="CF44">
        <v>291700</v>
      </c>
      <c r="CG44">
        <v>290500</v>
      </c>
      <c r="CH44">
        <v>289400</v>
      </c>
      <c r="CI44">
        <v>288400</v>
      </c>
      <c r="CJ44">
        <v>287700</v>
      </c>
      <c r="CK44">
        <v>287000</v>
      </c>
      <c r="CL44">
        <v>286100</v>
      </c>
      <c r="CM44">
        <v>284800</v>
      </c>
      <c r="CN44">
        <v>283400</v>
      </c>
      <c r="CO44">
        <v>282100</v>
      </c>
      <c r="CP44">
        <v>280400</v>
      </c>
      <c r="CQ44">
        <v>278700</v>
      </c>
      <c r="CR44">
        <v>276900</v>
      </c>
      <c r="CS44">
        <v>275200</v>
      </c>
      <c r="CT44">
        <v>273500</v>
      </c>
      <c r="CU44">
        <v>271300</v>
      </c>
      <c r="CV44">
        <v>268800</v>
      </c>
      <c r="CW44">
        <v>266000</v>
      </c>
      <c r="CX44">
        <v>263100</v>
      </c>
      <c r="CY44">
        <v>260100</v>
      </c>
      <c r="CZ44">
        <v>257200</v>
      </c>
      <c r="DA44">
        <v>254600</v>
      </c>
      <c r="DB44">
        <v>251800</v>
      </c>
      <c r="DC44">
        <v>249200</v>
      </c>
      <c r="DD44">
        <v>246700</v>
      </c>
      <c r="DE44">
        <v>244400</v>
      </c>
      <c r="DF44">
        <v>242300</v>
      </c>
      <c r="DG44">
        <v>240300</v>
      </c>
      <c r="DH44">
        <v>238300</v>
      </c>
      <c r="DI44">
        <v>236500</v>
      </c>
      <c r="DJ44">
        <v>234500</v>
      </c>
      <c r="DK44">
        <v>232100</v>
      </c>
      <c r="DL44">
        <v>229500</v>
      </c>
      <c r="DM44">
        <v>227200</v>
      </c>
      <c r="DN44">
        <v>225500</v>
      </c>
      <c r="DO44">
        <v>224600</v>
      </c>
      <c r="DP44">
        <v>224200</v>
      </c>
      <c r="DQ44">
        <v>224300</v>
      </c>
      <c r="DR44">
        <v>224700</v>
      </c>
      <c r="DS44">
        <v>225200</v>
      </c>
      <c r="DT44">
        <v>225700</v>
      </c>
      <c r="DU44">
        <v>226100</v>
      </c>
      <c r="DV44">
        <v>227200</v>
      </c>
      <c r="DW44">
        <v>228400</v>
      </c>
      <c r="DX44">
        <v>228500</v>
      </c>
      <c r="DY44">
        <v>227600</v>
      </c>
      <c r="DZ44">
        <v>226800</v>
      </c>
      <c r="EA44">
        <v>225700</v>
      </c>
      <c r="EB44">
        <v>224800</v>
      </c>
      <c r="EC44">
        <v>224200</v>
      </c>
      <c r="ED44">
        <v>222900</v>
      </c>
      <c r="EE44">
        <v>221500</v>
      </c>
      <c r="EF44">
        <v>220400</v>
      </c>
      <c r="EG44">
        <v>219300</v>
      </c>
      <c r="EH44">
        <v>217800</v>
      </c>
      <c r="EI44">
        <v>215700</v>
      </c>
      <c r="EJ44">
        <v>213100</v>
      </c>
      <c r="EK44">
        <v>211000</v>
      </c>
      <c r="EL44">
        <v>209400</v>
      </c>
      <c r="EM44">
        <v>208400</v>
      </c>
      <c r="EN44">
        <v>207500</v>
      </c>
      <c r="EO44">
        <v>205800</v>
      </c>
      <c r="EP44">
        <v>203900</v>
      </c>
      <c r="EQ44">
        <v>202900</v>
      </c>
      <c r="ER44">
        <v>202400</v>
      </c>
      <c r="ES44">
        <v>201500</v>
      </c>
      <c r="ET44">
        <v>200500</v>
      </c>
      <c r="EU44">
        <v>200800</v>
      </c>
      <c r="EV44">
        <v>202600</v>
      </c>
      <c r="EW44">
        <v>204100</v>
      </c>
      <c r="EX44">
        <v>205000</v>
      </c>
      <c r="EY44">
        <v>205400</v>
      </c>
      <c r="EZ44">
        <v>205400</v>
      </c>
      <c r="FA44">
        <v>205300</v>
      </c>
      <c r="FB44">
        <v>206100</v>
      </c>
      <c r="FC44">
        <v>206700</v>
      </c>
      <c r="FD44">
        <v>206300</v>
      </c>
      <c r="FE44">
        <v>205400</v>
      </c>
      <c r="FF44">
        <v>205100</v>
      </c>
      <c r="FG44">
        <v>205600</v>
      </c>
      <c r="FH44">
        <v>206900</v>
      </c>
      <c r="FI44">
        <v>208700</v>
      </c>
      <c r="FJ44">
        <v>210300</v>
      </c>
      <c r="FK44">
        <v>211100</v>
      </c>
      <c r="FL44">
        <v>211500</v>
      </c>
      <c r="FM44">
        <v>212300</v>
      </c>
      <c r="FN44">
        <v>212500</v>
      </c>
      <c r="FO44">
        <v>212300</v>
      </c>
      <c r="FP44">
        <v>212400</v>
      </c>
      <c r="FQ44">
        <v>213600</v>
      </c>
      <c r="FR44">
        <v>214900</v>
      </c>
      <c r="FS44">
        <v>216100</v>
      </c>
      <c r="FT44">
        <v>216900</v>
      </c>
      <c r="FU44">
        <v>217300</v>
      </c>
      <c r="FV44">
        <v>217700</v>
      </c>
      <c r="FW44">
        <v>218400</v>
      </c>
      <c r="FX44">
        <v>218800</v>
      </c>
      <c r="FY44">
        <v>219000</v>
      </c>
      <c r="FZ44">
        <v>219500</v>
      </c>
      <c r="GA44">
        <v>219900</v>
      </c>
      <c r="GB44">
        <v>220000</v>
      </c>
      <c r="GC44">
        <v>220700</v>
      </c>
      <c r="GD44">
        <v>221700</v>
      </c>
      <c r="GE44">
        <v>221400</v>
      </c>
      <c r="GF44">
        <v>220700</v>
      </c>
      <c r="GG44">
        <v>221000</v>
      </c>
      <c r="GH44">
        <v>222000</v>
      </c>
      <c r="GI44">
        <v>222900</v>
      </c>
      <c r="GJ44">
        <v>223600</v>
      </c>
      <c r="GK44">
        <v>224700</v>
      </c>
      <c r="GL44">
        <v>226100</v>
      </c>
      <c r="GM44">
        <v>227500</v>
      </c>
      <c r="GN44">
        <v>228900</v>
      </c>
      <c r="GO44">
        <v>230300</v>
      </c>
      <c r="GP44">
        <v>231400</v>
      </c>
      <c r="GQ44">
        <v>232200</v>
      </c>
      <c r="GR44">
        <v>233400</v>
      </c>
      <c r="GS44">
        <v>234600</v>
      </c>
      <c r="GT44">
        <v>236000</v>
      </c>
      <c r="GU44">
        <v>238000</v>
      </c>
      <c r="GV44">
        <v>240100</v>
      </c>
      <c r="GW44">
        <v>241200</v>
      </c>
      <c r="GX44">
        <v>241900</v>
      </c>
      <c r="GY44">
        <v>243500</v>
      </c>
      <c r="GZ44">
        <v>245300</v>
      </c>
      <c r="HA44">
        <v>246700</v>
      </c>
      <c r="HB44">
        <v>248000</v>
      </c>
      <c r="HC44">
        <v>249900</v>
      </c>
      <c r="HD44">
        <v>251900</v>
      </c>
      <c r="HE44">
        <v>253200</v>
      </c>
      <c r="HF44">
        <v>254200</v>
      </c>
      <c r="HG44">
        <v>255500</v>
      </c>
      <c r="HH44">
        <v>257400</v>
      </c>
      <c r="HI44">
        <v>259800</v>
      </c>
      <c r="HJ44">
        <v>262800</v>
      </c>
      <c r="HK44">
        <v>265500</v>
      </c>
      <c r="HL44">
        <v>267600</v>
      </c>
      <c r="HM44">
        <v>269400</v>
      </c>
      <c r="HN44">
        <v>270500</v>
      </c>
      <c r="HO44">
        <v>271600</v>
      </c>
      <c r="HP44">
        <v>273200</v>
      </c>
      <c r="HQ44">
        <v>274600</v>
      </c>
      <c r="HR44">
        <v>275100</v>
      </c>
      <c r="HS44">
        <v>275400</v>
      </c>
      <c r="HT44">
        <v>276000</v>
      </c>
    </row>
    <row r="45" spans="1:228" x14ac:dyDescent="0.3">
      <c r="A45">
        <v>35</v>
      </c>
      <c r="B45" t="s">
        <v>271</v>
      </c>
      <c r="C45">
        <v>44</v>
      </c>
      <c r="D45">
        <v>134400</v>
      </c>
      <c r="E45">
        <v>134400</v>
      </c>
      <c r="F45">
        <v>134300</v>
      </c>
      <c r="G45">
        <v>134300</v>
      </c>
      <c r="H45">
        <v>134300</v>
      </c>
      <c r="I45">
        <v>134400</v>
      </c>
      <c r="J45">
        <v>134500</v>
      </c>
      <c r="K45">
        <v>134600</v>
      </c>
      <c r="L45">
        <v>134600</v>
      </c>
      <c r="M45">
        <v>134500</v>
      </c>
      <c r="N45">
        <v>134400</v>
      </c>
      <c r="O45">
        <v>134100</v>
      </c>
      <c r="P45">
        <v>133800</v>
      </c>
      <c r="Q45">
        <v>133600</v>
      </c>
      <c r="R45">
        <v>133600</v>
      </c>
      <c r="S45">
        <v>133900</v>
      </c>
      <c r="T45">
        <v>134700</v>
      </c>
      <c r="U45">
        <v>135900</v>
      </c>
      <c r="V45">
        <v>137300</v>
      </c>
      <c r="W45">
        <v>138600</v>
      </c>
      <c r="X45">
        <v>139700</v>
      </c>
      <c r="Y45">
        <v>140500</v>
      </c>
      <c r="Z45">
        <v>141000</v>
      </c>
      <c r="AA45">
        <v>141400</v>
      </c>
      <c r="AB45">
        <v>141700</v>
      </c>
      <c r="AC45">
        <v>142000</v>
      </c>
      <c r="AD45">
        <v>142200</v>
      </c>
      <c r="AE45">
        <v>142400</v>
      </c>
      <c r="AF45">
        <v>142700</v>
      </c>
      <c r="AG45">
        <v>143100</v>
      </c>
      <c r="AH45">
        <v>143400</v>
      </c>
      <c r="AI45">
        <v>143800</v>
      </c>
      <c r="AJ45">
        <v>144200</v>
      </c>
      <c r="AK45">
        <v>144700</v>
      </c>
      <c r="AL45">
        <v>145300</v>
      </c>
      <c r="AM45">
        <v>146200</v>
      </c>
      <c r="AN45">
        <v>147100</v>
      </c>
      <c r="AO45">
        <v>148000</v>
      </c>
      <c r="AP45">
        <v>148600</v>
      </c>
      <c r="AQ45">
        <v>148500</v>
      </c>
      <c r="AR45">
        <v>147300</v>
      </c>
      <c r="AS45">
        <v>145200</v>
      </c>
      <c r="AT45">
        <v>142800</v>
      </c>
      <c r="AU45">
        <v>140800</v>
      </c>
      <c r="AV45">
        <v>139600</v>
      </c>
      <c r="AW45">
        <v>138900</v>
      </c>
      <c r="AX45">
        <v>138500</v>
      </c>
      <c r="AY45">
        <v>138400</v>
      </c>
      <c r="AZ45">
        <v>138400</v>
      </c>
      <c r="BA45">
        <v>138800</v>
      </c>
      <c r="BB45">
        <v>139400</v>
      </c>
      <c r="BC45">
        <v>140500</v>
      </c>
      <c r="BD45">
        <v>141800</v>
      </c>
      <c r="BE45">
        <v>143300</v>
      </c>
      <c r="BF45">
        <v>144700</v>
      </c>
      <c r="BG45">
        <v>145800</v>
      </c>
      <c r="BH45">
        <v>146700</v>
      </c>
      <c r="BI45">
        <v>147600</v>
      </c>
      <c r="BJ45">
        <v>148600</v>
      </c>
      <c r="BK45">
        <v>149800</v>
      </c>
      <c r="BL45">
        <v>150900</v>
      </c>
      <c r="BM45">
        <v>151900</v>
      </c>
      <c r="BN45">
        <v>152600</v>
      </c>
      <c r="BO45">
        <v>153100</v>
      </c>
      <c r="BP45">
        <v>153700</v>
      </c>
      <c r="BQ45">
        <v>154500</v>
      </c>
      <c r="BR45">
        <v>155700</v>
      </c>
      <c r="BS45">
        <v>157000</v>
      </c>
      <c r="BT45">
        <v>158200</v>
      </c>
      <c r="BU45">
        <v>159300</v>
      </c>
      <c r="BV45">
        <v>160200</v>
      </c>
      <c r="BW45">
        <v>161000</v>
      </c>
      <c r="BX45">
        <v>161800</v>
      </c>
      <c r="BY45">
        <v>162600</v>
      </c>
      <c r="BZ45">
        <v>163500</v>
      </c>
      <c r="CA45">
        <v>164500</v>
      </c>
      <c r="CB45">
        <v>165600</v>
      </c>
      <c r="CC45">
        <v>166900</v>
      </c>
      <c r="CD45">
        <v>168200</v>
      </c>
      <c r="CE45">
        <v>169300</v>
      </c>
      <c r="CF45">
        <v>170400</v>
      </c>
      <c r="CG45">
        <v>171300</v>
      </c>
      <c r="CH45">
        <v>172200</v>
      </c>
      <c r="CI45">
        <v>173000</v>
      </c>
      <c r="CJ45">
        <v>173700</v>
      </c>
      <c r="CK45">
        <v>174400</v>
      </c>
      <c r="CL45">
        <v>175000</v>
      </c>
      <c r="CM45">
        <v>175500</v>
      </c>
      <c r="CN45">
        <v>176000</v>
      </c>
      <c r="CO45">
        <v>176400</v>
      </c>
      <c r="CP45">
        <v>177000</v>
      </c>
      <c r="CQ45">
        <v>177600</v>
      </c>
      <c r="CR45">
        <v>178300</v>
      </c>
      <c r="CS45">
        <v>179100</v>
      </c>
      <c r="CT45">
        <v>179900</v>
      </c>
      <c r="CU45">
        <v>180600</v>
      </c>
      <c r="CV45">
        <v>181100</v>
      </c>
      <c r="CW45">
        <v>181500</v>
      </c>
      <c r="CX45">
        <v>181900</v>
      </c>
      <c r="CY45">
        <v>182100</v>
      </c>
      <c r="CZ45">
        <v>182300</v>
      </c>
      <c r="DA45">
        <v>182400</v>
      </c>
      <c r="DB45">
        <v>182400</v>
      </c>
      <c r="DC45">
        <v>182400</v>
      </c>
      <c r="DD45">
        <v>182400</v>
      </c>
      <c r="DE45">
        <v>182400</v>
      </c>
      <c r="DF45">
        <v>182400</v>
      </c>
      <c r="DG45">
        <v>182400</v>
      </c>
      <c r="DH45">
        <v>182400</v>
      </c>
      <c r="DI45">
        <v>182400</v>
      </c>
      <c r="DJ45">
        <v>182400</v>
      </c>
      <c r="DK45">
        <v>182300</v>
      </c>
      <c r="DL45">
        <v>182200</v>
      </c>
      <c r="DM45">
        <v>182200</v>
      </c>
      <c r="DN45">
        <v>182000</v>
      </c>
      <c r="DO45">
        <v>181700</v>
      </c>
      <c r="DP45">
        <v>181500</v>
      </c>
      <c r="DQ45">
        <v>181200</v>
      </c>
      <c r="DR45">
        <v>180900</v>
      </c>
      <c r="DS45">
        <v>180700</v>
      </c>
      <c r="DT45">
        <v>180500</v>
      </c>
      <c r="DU45">
        <v>180300</v>
      </c>
      <c r="DV45">
        <v>180800</v>
      </c>
      <c r="DW45">
        <v>181800</v>
      </c>
      <c r="DX45">
        <v>182600</v>
      </c>
      <c r="DY45">
        <v>182800</v>
      </c>
      <c r="DZ45">
        <v>182900</v>
      </c>
      <c r="EA45">
        <v>182700</v>
      </c>
      <c r="EB45">
        <v>182500</v>
      </c>
      <c r="EC45">
        <v>182100</v>
      </c>
      <c r="ED45">
        <v>181400</v>
      </c>
      <c r="EE45">
        <v>180500</v>
      </c>
      <c r="EF45">
        <v>180200</v>
      </c>
      <c r="EG45">
        <v>180100</v>
      </c>
      <c r="EH45">
        <v>179500</v>
      </c>
      <c r="EI45">
        <v>178300</v>
      </c>
      <c r="EJ45">
        <v>177400</v>
      </c>
      <c r="EK45">
        <v>177000</v>
      </c>
      <c r="EL45">
        <v>176600</v>
      </c>
      <c r="EM45">
        <v>176500</v>
      </c>
      <c r="EN45">
        <v>176500</v>
      </c>
      <c r="EO45">
        <v>176800</v>
      </c>
      <c r="EP45">
        <v>177300</v>
      </c>
      <c r="EQ45">
        <v>178100</v>
      </c>
      <c r="ER45">
        <v>178500</v>
      </c>
      <c r="ES45">
        <v>178400</v>
      </c>
      <c r="ET45">
        <v>178400</v>
      </c>
      <c r="EU45">
        <v>178700</v>
      </c>
      <c r="EV45">
        <v>178900</v>
      </c>
      <c r="EW45">
        <v>178900</v>
      </c>
      <c r="EX45">
        <v>179300</v>
      </c>
      <c r="EY45">
        <v>179700</v>
      </c>
      <c r="EZ45">
        <v>180300</v>
      </c>
      <c r="FA45">
        <v>181000</v>
      </c>
      <c r="FB45">
        <v>181800</v>
      </c>
      <c r="FC45">
        <v>182600</v>
      </c>
      <c r="FD45">
        <v>183100</v>
      </c>
      <c r="FE45">
        <v>183400</v>
      </c>
      <c r="FF45">
        <v>183600</v>
      </c>
      <c r="FG45">
        <v>183900</v>
      </c>
      <c r="FH45">
        <v>184700</v>
      </c>
      <c r="FI45">
        <v>185900</v>
      </c>
      <c r="FJ45">
        <v>186800</v>
      </c>
      <c r="FK45">
        <v>187400</v>
      </c>
      <c r="FL45">
        <v>187700</v>
      </c>
      <c r="FM45">
        <v>187600</v>
      </c>
      <c r="FN45">
        <v>187500</v>
      </c>
      <c r="FO45">
        <v>187500</v>
      </c>
      <c r="FP45">
        <v>187800</v>
      </c>
      <c r="FQ45">
        <v>188200</v>
      </c>
      <c r="FR45">
        <v>188500</v>
      </c>
      <c r="FS45">
        <v>188700</v>
      </c>
      <c r="FT45">
        <v>189000</v>
      </c>
      <c r="FU45">
        <v>189300</v>
      </c>
      <c r="FV45">
        <v>189900</v>
      </c>
      <c r="FW45">
        <v>190800</v>
      </c>
      <c r="FX45">
        <v>191900</v>
      </c>
      <c r="FY45">
        <v>192500</v>
      </c>
      <c r="FZ45">
        <v>192500</v>
      </c>
      <c r="GA45">
        <v>192300</v>
      </c>
      <c r="GB45">
        <v>191900</v>
      </c>
      <c r="GC45">
        <v>191600</v>
      </c>
      <c r="GD45">
        <v>191900</v>
      </c>
      <c r="GE45">
        <v>192400</v>
      </c>
      <c r="GF45">
        <v>192800</v>
      </c>
      <c r="GG45">
        <v>193700</v>
      </c>
      <c r="GH45">
        <v>194600</v>
      </c>
      <c r="GI45">
        <v>195100</v>
      </c>
      <c r="GJ45">
        <v>195700</v>
      </c>
      <c r="GK45">
        <v>196400</v>
      </c>
      <c r="GL45">
        <v>196900</v>
      </c>
      <c r="GM45">
        <v>197300</v>
      </c>
      <c r="GN45">
        <v>197800</v>
      </c>
      <c r="GO45">
        <v>198600</v>
      </c>
      <c r="GP45">
        <v>199700</v>
      </c>
      <c r="GQ45">
        <v>201600</v>
      </c>
      <c r="GR45">
        <v>203300</v>
      </c>
      <c r="GS45">
        <v>203900</v>
      </c>
      <c r="GT45">
        <v>203600</v>
      </c>
      <c r="GU45">
        <v>203700</v>
      </c>
      <c r="GV45">
        <v>204700</v>
      </c>
      <c r="GW45">
        <v>206300</v>
      </c>
      <c r="GX45">
        <v>207400</v>
      </c>
      <c r="GY45">
        <v>208400</v>
      </c>
      <c r="GZ45">
        <v>209200</v>
      </c>
      <c r="HA45">
        <v>209100</v>
      </c>
      <c r="HB45">
        <v>208700</v>
      </c>
      <c r="HC45">
        <v>209000</v>
      </c>
      <c r="HD45">
        <v>209400</v>
      </c>
      <c r="HE45">
        <v>209200</v>
      </c>
      <c r="HF45">
        <v>209000</v>
      </c>
      <c r="HG45">
        <v>209300</v>
      </c>
      <c r="HH45">
        <v>209700</v>
      </c>
      <c r="HI45">
        <v>210500</v>
      </c>
      <c r="HJ45">
        <v>212400</v>
      </c>
      <c r="HK45">
        <v>214500</v>
      </c>
      <c r="HL45">
        <v>217000</v>
      </c>
      <c r="HM45">
        <v>220300</v>
      </c>
      <c r="HN45">
        <v>223200</v>
      </c>
      <c r="HO45">
        <v>224100</v>
      </c>
      <c r="HP45">
        <v>224200</v>
      </c>
      <c r="HQ45">
        <v>224600</v>
      </c>
      <c r="HR45">
        <v>226000</v>
      </c>
      <c r="HS45">
        <v>227100</v>
      </c>
      <c r="HT45">
        <v>227500</v>
      </c>
    </row>
    <row r="46" spans="1:228" x14ac:dyDescent="0.3">
      <c r="A46">
        <v>13</v>
      </c>
      <c r="B46" t="s">
        <v>272</v>
      </c>
      <c r="C46">
        <v>45</v>
      </c>
      <c r="D46">
        <v>118400</v>
      </c>
      <c r="E46">
        <v>118900</v>
      </c>
      <c r="F46">
        <v>119500</v>
      </c>
      <c r="G46">
        <v>120400</v>
      </c>
      <c r="H46">
        <v>121300</v>
      </c>
      <c r="I46">
        <v>122400</v>
      </c>
      <c r="J46">
        <v>123400</v>
      </c>
      <c r="K46">
        <v>124300</v>
      </c>
      <c r="L46">
        <v>125100</v>
      </c>
      <c r="M46">
        <v>125800</v>
      </c>
      <c r="N46">
        <v>126600</v>
      </c>
      <c r="O46">
        <v>127500</v>
      </c>
      <c r="P46">
        <v>128600</v>
      </c>
      <c r="Q46">
        <v>129800</v>
      </c>
      <c r="R46">
        <v>130900</v>
      </c>
      <c r="S46">
        <v>131900</v>
      </c>
      <c r="T46">
        <v>132800</v>
      </c>
      <c r="U46">
        <v>133700</v>
      </c>
      <c r="V46">
        <v>134600</v>
      </c>
      <c r="W46">
        <v>135300</v>
      </c>
      <c r="X46">
        <v>135900</v>
      </c>
      <c r="Y46">
        <v>136500</v>
      </c>
      <c r="Z46">
        <v>137100</v>
      </c>
      <c r="AA46">
        <v>137800</v>
      </c>
      <c r="AB46">
        <v>138800</v>
      </c>
      <c r="AC46">
        <v>139900</v>
      </c>
      <c r="AD46">
        <v>140900</v>
      </c>
      <c r="AE46">
        <v>141900</v>
      </c>
      <c r="AF46">
        <v>143000</v>
      </c>
      <c r="AG46">
        <v>144100</v>
      </c>
      <c r="AH46">
        <v>145000</v>
      </c>
      <c r="AI46">
        <v>145900</v>
      </c>
      <c r="AJ46">
        <v>146700</v>
      </c>
      <c r="AK46">
        <v>147400</v>
      </c>
      <c r="AL46">
        <v>148400</v>
      </c>
      <c r="AM46">
        <v>149800</v>
      </c>
      <c r="AN46">
        <v>151400</v>
      </c>
      <c r="AO46">
        <v>153200</v>
      </c>
      <c r="AP46">
        <v>155100</v>
      </c>
      <c r="AQ46">
        <v>157000</v>
      </c>
      <c r="AR46">
        <v>158800</v>
      </c>
      <c r="AS46">
        <v>160600</v>
      </c>
      <c r="AT46">
        <v>162500</v>
      </c>
      <c r="AU46">
        <v>164300</v>
      </c>
      <c r="AV46">
        <v>166000</v>
      </c>
      <c r="AW46">
        <v>167500</v>
      </c>
      <c r="AX46">
        <v>168900</v>
      </c>
      <c r="AY46">
        <v>170300</v>
      </c>
      <c r="AZ46">
        <v>171900</v>
      </c>
      <c r="BA46">
        <v>173700</v>
      </c>
      <c r="BB46">
        <v>175700</v>
      </c>
      <c r="BC46">
        <v>177800</v>
      </c>
      <c r="BD46">
        <v>180000</v>
      </c>
      <c r="BE46">
        <v>182500</v>
      </c>
      <c r="BF46">
        <v>185500</v>
      </c>
      <c r="BG46">
        <v>189300</v>
      </c>
      <c r="BH46">
        <v>194400</v>
      </c>
      <c r="BI46">
        <v>200400</v>
      </c>
      <c r="BJ46">
        <v>206100</v>
      </c>
      <c r="BK46">
        <v>210200</v>
      </c>
      <c r="BL46">
        <v>212200</v>
      </c>
      <c r="BM46">
        <v>212700</v>
      </c>
      <c r="BN46">
        <v>212600</v>
      </c>
      <c r="BO46">
        <v>212800</v>
      </c>
      <c r="BP46">
        <v>213300</v>
      </c>
      <c r="BQ46">
        <v>213800</v>
      </c>
      <c r="BR46">
        <v>214400</v>
      </c>
      <c r="BS46">
        <v>215100</v>
      </c>
      <c r="BT46">
        <v>216200</v>
      </c>
      <c r="BU46">
        <v>217500</v>
      </c>
      <c r="BV46">
        <v>218900</v>
      </c>
      <c r="BW46">
        <v>220700</v>
      </c>
      <c r="BX46">
        <v>222600</v>
      </c>
      <c r="BY46">
        <v>224700</v>
      </c>
      <c r="BZ46">
        <v>226600</v>
      </c>
      <c r="CA46">
        <v>228000</v>
      </c>
      <c r="CB46">
        <v>229300</v>
      </c>
      <c r="CC46">
        <v>230500</v>
      </c>
      <c r="CD46">
        <v>231800</v>
      </c>
      <c r="CE46">
        <v>232700</v>
      </c>
      <c r="CF46">
        <v>233100</v>
      </c>
      <c r="CG46">
        <v>233200</v>
      </c>
      <c r="CH46">
        <v>233100</v>
      </c>
      <c r="CI46">
        <v>233200</v>
      </c>
      <c r="CJ46">
        <v>233600</v>
      </c>
      <c r="CK46">
        <v>234200</v>
      </c>
      <c r="CL46">
        <v>234400</v>
      </c>
      <c r="CM46">
        <v>234500</v>
      </c>
      <c r="CN46">
        <v>234700</v>
      </c>
      <c r="CO46">
        <v>235300</v>
      </c>
      <c r="CP46">
        <v>235800</v>
      </c>
      <c r="CQ46">
        <v>236200</v>
      </c>
      <c r="CR46">
        <v>236200</v>
      </c>
      <c r="CS46">
        <v>236100</v>
      </c>
      <c r="CT46">
        <v>236400</v>
      </c>
      <c r="CU46">
        <v>236600</v>
      </c>
      <c r="CV46">
        <v>236500</v>
      </c>
      <c r="CW46">
        <v>236400</v>
      </c>
      <c r="CX46">
        <v>236000</v>
      </c>
      <c r="CY46">
        <v>235300</v>
      </c>
      <c r="CZ46">
        <v>234800</v>
      </c>
      <c r="DA46">
        <v>234600</v>
      </c>
      <c r="DB46">
        <v>233900</v>
      </c>
      <c r="DC46">
        <v>232700</v>
      </c>
      <c r="DD46">
        <v>231100</v>
      </c>
      <c r="DE46">
        <v>230000</v>
      </c>
      <c r="DF46">
        <v>229600</v>
      </c>
      <c r="DG46">
        <v>229200</v>
      </c>
      <c r="DH46">
        <v>228300</v>
      </c>
      <c r="DI46">
        <v>227200</v>
      </c>
      <c r="DJ46">
        <v>225500</v>
      </c>
      <c r="DK46">
        <v>223300</v>
      </c>
      <c r="DL46">
        <v>221200</v>
      </c>
      <c r="DM46">
        <v>219500</v>
      </c>
      <c r="DN46">
        <v>218200</v>
      </c>
      <c r="DO46">
        <v>217300</v>
      </c>
      <c r="DP46">
        <v>216400</v>
      </c>
      <c r="DQ46">
        <v>216200</v>
      </c>
      <c r="DR46">
        <v>217000</v>
      </c>
      <c r="DS46">
        <v>218000</v>
      </c>
      <c r="DT46">
        <v>218400</v>
      </c>
      <c r="DU46">
        <v>217900</v>
      </c>
      <c r="DV46">
        <v>219300</v>
      </c>
      <c r="DW46">
        <v>223000</v>
      </c>
      <c r="DX46">
        <v>225200</v>
      </c>
      <c r="DY46">
        <v>224700</v>
      </c>
      <c r="DZ46">
        <v>224000</v>
      </c>
      <c r="EA46">
        <v>222800</v>
      </c>
      <c r="EB46">
        <v>221300</v>
      </c>
      <c r="EC46">
        <v>220700</v>
      </c>
      <c r="ED46">
        <v>222000</v>
      </c>
      <c r="EE46">
        <v>223500</v>
      </c>
      <c r="EF46">
        <v>224000</v>
      </c>
      <c r="EG46">
        <v>224700</v>
      </c>
      <c r="EH46">
        <v>225200</v>
      </c>
      <c r="EI46">
        <v>224800</v>
      </c>
      <c r="EJ46">
        <v>224300</v>
      </c>
      <c r="EK46">
        <v>224100</v>
      </c>
      <c r="EL46">
        <v>223500</v>
      </c>
      <c r="EM46">
        <v>222800</v>
      </c>
      <c r="EN46">
        <v>223200</v>
      </c>
      <c r="EO46">
        <v>218500</v>
      </c>
      <c r="EP46">
        <v>207300</v>
      </c>
      <c r="EQ46">
        <v>197300</v>
      </c>
      <c r="ER46">
        <v>193000</v>
      </c>
      <c r="ES46">
        <v>190900</v>
      </c>
      <c r="ET46">
        <v>189500</v>
      </c>
      <c r="EU46">
        <v>188400</v>
      </c>
      <c r="EV46">
        <v>187600</v>
      </c>
      <c r="EW46">
        <v>187100</v>
      </c>
      <c r="EX46">
        <v>186300</v>
      </c>
      <c r="EY46">
        <v>185100</v>
      </c>
      <c r="EZ46">
        <v>183900</v>
      </c>
      <c r="FA46">
        <v>184100</v>
      </c>
      <c r="FB46">
        <v>185500</v>
      </c>
      <c r="FC46">
        <v>186400</v>
      </c>
      <c r="FD46">
        <v>186400</v>
      </c>
      <c r="FE46">
        <v>186700</v>
      </c>
      <c r="FF46">
        <v>187300</v>
      </c>
      <c r="FG46">
        <v>187200</v>
      </c>
      <c r="FH46">
        <v>186700</v>
      </c>
      <c r="FI46">
        <v>186600</v>
      </c>
      <c r="FJ46">
        <v>187200</v>
      </c>
      <c r="FK46">
        <v>188700</v>
      </c>
      <c r="FL46">
        <v>190200</v>
      </c>
      <c r="FM46">
        <v>191700</v>
      </c>
      <c r="FN46">
        <v>193100</v>
      </c>
      <c r="FO46">
        <v>194200</v>
      </c>
      <c r="FP46">
        <v>194700</v>
      </c>
      <c r="FQ46">
        <v>194900</v>
      </c>
      <c r="FR46">
        <v>194600</v>
      </c>
      <c r="FS46">
        <v>195100</v>
      </c>
      <c r="FT46">
        <v>196300</v>
      </c>
      <c r="FU46">
        <v>197400</v>
      </c>
      <c r="FV46">
        <v>197600</v>
      </c>
      <c r="FW46">
        <v>197500</v>
      </c>
      <c r="FX46">
        <v>197200</v>
      </c>
      <c r="FY46">
        <v>197500</v>
      </c>
      <c r="FZ46">
        <v>198200</v>
      </c>
      <c r="GA46">
        <v>199200</v>
      </c>
      <c r="GB46">
        <v>200100</v>
      </c>
      <c r="GC46">
        <v>200600</v>
      </c>
      <c r="GD46">
        <v>200200</v>
      </c>
      <c r="GE46">
        <v>200100</v>
      </c>
      <c r="GF46">
        <v>200700</v>
      </c>
      <c r="GG46">
        <v>201700</v>
      </c>
      <c r="GH46">
        <v>202700</v>
      </c>
      <c r="GI46">
        <v>203700</v>
      </c>
      <c r="GJ46">
        <v>205000</v>
      </c>
      <c r="GK46">
        <v>206200</v>
      </c>
      <c r="GL46">
        <v>207500</v>
      </c>
      <c r="GM46">
        <v>208500</v>
      </c>
      <c r="GN46">
        <v>209200</v>
      </c>
      <c r="GO46">
        <v>210400</v>
      </c>
      <c r="GP46">
        <v>211600</v>
      </c>
      <c r="GQ46">
        <v>212000</v>
      </c>
      <c r="GR46">
        <v>212300</v>
      </c>
      <c r="GS46">
        <v>213300</v>
      </c>
      <c r="GT46">
        <v>214800</v>
      </c>
      <c r="GU46">
        <v>216000</v>
      </c>
      <c r="GV46">
        <v>216600</v>
      </c>
      <c r="GW46">
        <v>217500</v>
      </c>
      <c r="GX46">
        <v>218400</v>
      </c>
      <c r="GY46">
        <v>219000</v>
      </c>
      <c r="GZ46">
        <v>219900</v>
      </c>
      <c r="HA46">
        <v>221300</v>
      </c>
      <c r="HB46">
        <v>222100</v>
      </c>
      <c r="HC46">
        <v>222100</v>
      </c>
      <c r="HD46">
        <v>221800</v>
      </c>
      <c r="HE46">
        <v>221100</v>
      </c>
      <c r="HF46">
        <v>220600</v>
      </c>
      <c r="HG46">
        <v>221200</v>
      </c>
      <c r="HH46">
        <v>221500</v>
      </c>
      <c r="HI46">
        <v>223400</v>
      </c>
      <c r="HJ46">
        <v>229400</v>
      </c>
      <c r="HK46">
        <v>236400</v>
      </c>
      <c r="HL46">
        <v>238900</v>
      </c>
      <c r="HM46">
        <v>237900</v>
      </c>
      <c r="HN46">
        <v>235600</v>
      </c>
      <c r="HO46">
        <v>233600</v>
      </c>
      <c r="HP46">
        <v>232000</v>
      </c>
      <c r="HQ46">
        <v>231600</v>
      </c>
      <c r="HR46">
        <v>232000</v>
      </c>
      <c r="HS46">
        <v>232300</v>
      </c>
      <c r="HT46">
        <v>232100</v>
      </c>
    </row>
    <row r="47" spans="1:228" x14ac:dyDescent="0.3">
      <c r="A47">
        <v>52</v>
      </c>
      <c r="B47" t="s">
        <v>273</v>
      </c>
      <c r="C47">
        <v>46</v>
      </c>
      <c r="D47">
        <v>79800</v>
      </c>
      <c r="E47">
        <v>79900</v>
      </c>
      <c r="F47">
        <v>80100</v>
      </c>
      <c r="G47">
        <v>80700</v>
      </c>
      <c r="H47">
        <v>81400</v>
      </c>
      <c r="I47">
        <v>82300</v>
      </c>
      <c r="J47">
        <v>83000</v>
      </c>
      <c r="K47">
        <v>83500</v>
      </c>
      <c r="L47">
        <v>83800</v>
      </c>
      <c r="M47">
        <v>84000</v>
      </c>
      <c r="N47">
        <v>84300</v>
      </c>
      <c r="O47">
        <v>84900</v>
      </c>
      <c r="P47">
        <v>86000</v>
      </c>
      <c r="Q47">
        <v>87300</v>
      </c>
      <c r="R47">
        <v>89000</v>
      </c>
      <c r="S47">
        <v>90700</v>
      </c>
      <c r="T47">
        <v>92300</v>
      </c>
      <c r="U47">
        <v>93600</v>
      </c>
      <c r="V47">
        <v>94600</v>
      </c>
      <c r="W47">
        <v>95200</v>
      </c>
      <c r="X47">
        <v>95500</v>
      </c>
      <c r="Y47">
        <v>95800</v>
      </c>
      <c r="Z47">
        <v>96100</v>
      </c>
      <c r="AA47">
        <v>96600</v>
      </c>
      <c r="AB47">
        <v>97200</v>
      </c>
      <c r="AC47">
        <v>97800</v>
      </c>
      <c r="AD47">
        <v>98100</v>
      </c>
      <c r="AE47">
        <v>98100</v>
      </c>
      <c r="AF47">
        <v>98000</v>
      </c>
      <c r="AG47">
        <v>98000</v>
      </c>
      <c r="AH47">
        <v>98200</v>
      </c>
      <c r="AI47">
        <v>98900</v>
      </c>
      <c r="AJ47">
        <v>100000</v>
      </c>
      <c r="AK47">
        <v>101100</v>
      </c>
      <c r="AL47">
        <v>102200</v>
      </c>
      <c r="AM47">
        <v>102400</v>
      </c>
      <c r="AN47">
        <v>101400</v>
      </c>
      <c r="AO47">
        <v>99600</v>
      </c>
      <c r="AP47">
        <v>97800</v>
      </c>
      <c r="AQ47">
        <v>96200</v>
      </c>
      <c r="AR47">
        <v>95000</v>
      </c>
      <c r="AS47">
        <v>94600</v>
      </c>
      <c r="AT47">
        <v>94900</v>
      </c>
      <c r="AU47">
        <v>96000</v>
      </c>
      <c r="AV47">
        <v>97600</v>
      </c>
      <c r="AW47">
        <v>99600</v>
      </c>
      <c r="AX47">
        <v>101700</v>
      </c>
      <c r="AY47">
        <v>103800</v>
      </c>
      <c r="AZ47">
        <v>106100</v>
      </c>
      <c r="BA47">
        <v>108400</v>
      </c>
      <c r="BB47">
        <v>110800</v>
      </c>
      <c r="BC47">
        <v>113200</v>
      </c>
      <c r="BD47">
        <v>115500</v>
      </c>
      <c r="BE47">
        <v>117400</v>
      </c>
      <c r="BF47">
        <v>118900</v>
      </c>
      <c r="BG47">
        <v>119900</v>
      </c>
      <c r="BH47">
        <v>120500</v>
      </c>
      <c r="BI47">
        <v>120700</v>
      </c>
      <c r="BJ47">
        <v>120600</v>
      </c>
      <c r="BK47">
        <v>120400</v>
      </c>
      <c r="BL47">
        <v>120500</v>
      </c>
      <c r="BM47">
        <v>120700</v>
      </c>
      <c r="BN47">
        <v>121100</v>
      </c>
      <c r="BO47">
        <v>122000</v>
      </c>
      <c r="BP47">
        <v>123100</v>
      </c>
      <c r="BQ47">
        <v>124500</v>
      </c>
      <c r="BR47">
        <v>126000</v>
      </c>
      <c r="BS47">
        <v>127300</v>
      </c>
      <c r="BT47">
        <v>128300</v>
      </c>
      <c r="BU47">
        <v>129200</v>
      </c>
      <c r="BV47">
        <v>130000</v>
      </c>
      <c r="BW47">
        <v>130800</v>
      </c>
      <c r="BX47">
        <v>131700</v>
      </c>
      <c r="BY47">
        <v>132800</v>
      </c>
      <c r="BZ47">
        <v>133800</v>
      </c>
      <c r="CA47">
        <v>134800</v>
      </c>
      <c r="CB47">
        <v>135700</v>
      </c>
      <c r="CC47">
        <v>136500</v>
      </c>
      <c r="CD47">
        <v>137000</v>
      </c>
      <c r="CE47">
        <v>137400</v>
      </c>
      <c r="CF47">
        <v>137700</v>
      </c>
      <c r="CG47">
        <v>138000</v>
      </c>
      <c r="CH47">
        <v>138100</v>
      </c>
      <c r="CI47">
        <v>138300</v>
      </c>
      <c r="CJ47">
        <v>138500</v>
      </c>
      <c r="CK47">
        <v>138700</v>
      </c>
      <c r="CL47">
        <v>138800</v>
      </c>
      <c r="CM47">
        <v>138900</v>
      </c>
      <c r="CN47">
        <v>138800</v>
      </c>
      <c r="CO47">
        <v>138700</v>
      </c>
      <c r="CP47">
        <v>138600</v>
      </c>
      <c r="CQ47">
        <v>138400</v>
      </c>
      <c r="CR47">
        <v>138300</v>
      </c>
      <c r="CS47">
        <v>138400</v>
      </c>
      <c r="CT47">
        <v>138600</v>
      </c>
      <c r="CU47">
        <v>138900</v>
      </c>
      <c r="CV47">
        <v>139300</v>
      </c>
      <c r="CW47">
        <v>139700</v>
      </c>
      <c r="CX47">
        <v>139800</v>
      </c>
      <c r="CY47">
        <v>139700</v>
      </c>
      <c r="CZ47">
        <v>139600</v>
      </c>
      <c r="DA47">
        <v>139400</v>
      </c>
      <c r="DB47">
        <v>139400</v>
      </c>
      <c r="DC47">
        <v>139400</v>
      </c>
      <c r="DD47">
        <v>139500</v>
      </c>
      <c r="DE47">
        <v>139700</v>
      </c>
      <c r="DF47">
        <v>140000</v>
      </c>
      <c r="DG47">
        <v>140300</v>
      </c>
      <c r="DH47">
        <v>140500</v>
      </c>
      <c r="DI47">
        <v>140800</v>
      </c>
      <c r="DJ47">
        <v>141100</v>
      </c>
      <c r="DK47">
        <v>141300</v>
      </c>
      <c r="DL47">
        <v>141400</v>
      </c>
      <c r="DM47">
        <v>141400</v>
      </c>
      <c r="DN47">
        <v>141200</v>
      </c>
      <c r="DO47">
        <v>140900</v>
      </c>
      <c r="DP47">
        <v>140500</v>
      </c>
      <c r="DQ47">
        <v>140300</v>
      </c>
      <c r="DR47">
        <v>140100</v>
      </c>
      <c r="DS47">
        <v>139900</v>
      </c>
      <c r="DT47">
        <v>139800</v>
      </c>
      <c r="DU47">
        <v>139800</v>
      </c>
      <c r="DV47">
        <v>139800</v>
      </c>
      <c r="DW47">
        <v>140100</v>
      </c>
      <c r="DX47">
        <v>140400</v>
      </c>
      <c r="DY47">
        <v>140600</v>
      </c>
      <c r="DZ47">
        <v>140800</v>
      </c>
      <c r="EA47">
        <v>141000</v>
      </c>
      <c r="EB47">
        <v>141000</v>
      </c>
      <c r="EC47">
        <v>140700</v>
      </c>
      <c r="ED47">
        <v>140500</v>
      </c>
      <c r="EE47">
        <v>140100</v>
      </c>
      <c r="EF47">
        <v>139700</v>
      </c>
      <c r="EG47">
        <v>139400</v>
      </c>
      <c r="EH47">
        <v>138900</v>
      </c>
      <c r="EI47">
        <v>138500</v>
      </c>
      <c r="EJ47">
        <v>138400</v>
      </c>
      <c r="EK47">
        <v>138300</v>
      </c>
      <c r="EL47">
        <v>138300</v>
      </c>
      <c r="EM47">
        <v>138300</v>
      </c>
      <c r="EN47">
        <v>138400</v>
      </c>
      <c r="EO47">
        <v>138300</v>
      </c>
      <c r="EP47">
        <v>138000</v>
      </c>
      <c r="EQ47">
        <v>137700</v>
      </c>
      <c r="ER47">
        <v>137500</v>
      </c>
      <c r="ES47">
        <v>137400</v>
      </c>
      <c r="ET47">
        <v>137500</v>
      </c>
      <c r="EU47">
        <v>137300</v>
      </c>
      <c r="EV47">
        <v>137000</v>
      </c>
      <c r="EW47">
        <v>136800</v>
      </c>
      <c r="EX47">
        <v>137100</v>
      </c>
      <c r="EY47">
        <v>137800</v>
      </c>
      <c r="EZ47">
        <v>138700</v>
      </c>
      <c r="FA47">
        <v>139500</v>
      </c>
      <c r="FB47">
        <v>140600</v>
      </c>
      <c r="FC47">
        <v>141800</v>
      </c>
      <c r="FD47">
        <v>142800</v>
      </c>
      <c r="FE47">
        <v>143400</v>
      </c>
      <c r="FF47">
        <v>143800</v>
      </c>
      <c r="FG47">
        <v>144300</v>
      </c>
      <c r="FH47">
        <v>145000</v>
      </c>
      <c r="FI47">
        <v>145800</v>
      </c>
      <c r="FJ47">
        <v>146300</v>
      </c>
      <c r="FK47">
        <v>146400</v>
      </c>
      <c r="FL47">
        <v>146300</v>
      </c>
      <c r="FM47">
        <v>146500</v>
      </c>
      <c r="FN47">
        <v>146500</v>
      </c>
      <c r="FO47">
        <v>146300</v>
      </c>
      <c r="FP47">
        <v>145900</v>
      </c>
      <c r="FQ47">
        <v>145700</v>
      </c>
      <c r="FR47">
        <v>146000</v>
      </c>
      <c r="FS47">
        <v>146300</v>
      </c>
      <c r="FT47">
        <v>146600</v>
      </c>
      <c r="FU47">
        <v>146800</v>
      </c>
      <c r="FV47">
        <v>147300</v>
      </c>
      <c r="FW47">
        <v>148000</v>
      </c>
      <c r="FX47">
        <v>149000</v>
      </c>
      <c r="FY47">
        <v>149900</v>
      </c>
      <c r="FZ47">
        <v>150700</v>
      </c>
      <c r="GA47">
        <v>151400</v>
      </c>
      <c r="GB47">
        <v>152300</v>
      </c>
      <c r="GC47">
        <v>153500</v>
      </c>
      <c r="GD47">
        <v>154600</v>
      </c>
      <c r="GE47">
        <v>155600</v>
      </c>
      <c r="GF47">
        <v>156400</v>
      </c>
      <c r="GG47">
        <v>157000</v>
      </c>
      <c r="GH47">
        <v>157500</v>
      </c>
      <c r="GI47">
        <v>158000</v>
      </c>
      <c r="GJ47">
        <v>158500</v>
      </c>
      <c r="GK47">
        <v>159000</v>
      </c>
      <c r="GL47">
        <v>159500</v>
      </c>
      <c r="GM47">
        <v>160700</v>
      </c>
      <c r="GN47">
        <v>162500</v>
      </c>
      <c r="GO47">
        <v>163500</v>
      </c>
      <c r="GP47">
        <v>163700</v>
      </c>
      <c r="GQ47">
        <v>164200</v>
      </c>
      <c r="GR47">
        <v>165100</v>
      </c>
      <c r="GS47">
        <v>165700</v>
      </c>
      <c r="GT47">
        <v>165900</v>
      </c>
      <c r="GU47">
        <v>166200</v>
      </c>
      <c r="GV47">
        <v>166400</v>
      </c>
      <c r="GW47">
        <v>166600</v>
      </c>
      <c r="GX47">
        <v>167300</v>
      </c>
      <c r="GY47">
        <v>168300</v>
      </c>
      <c r="GZ47">
        <v>169000</v>
      </c>
      <c r="HA47">
        <v>169300</v>
      </c>
      <c r="HB47">
        <v>170000</v>
      </c>
      <c r="HC47">
        <v>170700</v>
      </c>
      <c r="HD47">
        <v>171300</v>
      </c>
      <c r="HE47">
        <v>172000</v>
      </c>
      <c r="HF47">
        <v>172700</v>
      </c>
      <c r="HG47">
        <v>173200</v>
      </c>
      <c r="HH47">
        <v>173900</v>
      </c>
      <c r="HI47">
        <v>175000</v>
      </c>
      <c r="HJ47">
        <v>176000</v>
      </c>
      <c r="HK47">
        <v>176200</v>
      </c>
      <c r="HL47">
        <v>176500</v>
      </c>
      <c r="HM47">
        <v>177800</v>
      </c>
      <c r="HN47">
        <v>179600</v>
      </c>
      <c r="HO47">
        <v>180700</v>
      </c>
      <c r="HP47">
        <v>181300</v>
      </c>
      <c r="HQ47">
        <v>181800</v>
      </c>
      <c r="HR47">
        <v>182500</v>
      </c>
      <c r="HS47">
        <v>183000</v>
      </c>
      <c r="HT47">
        <v>183200</v>
      </c>
    </row>
    <row r="48" spans="1:228" x14ac:dyDescent="0.3">
      <c r="A48">
        <v>3</v>
      </c>
      <c r="B48" t="s">
        <v>274</v>
      </c>
      <c r="C48">
        <v>47</v>
      </c>
      <c r="D48">
        <v>156100</v>
      </c>
      <c r="E48">
        <v>156000</v>
      </c>
      <c r="F48">
        <v>155800</v>
      </c>
      <c r="G48">
        <v>155500</v>
      </c>
      <c r="H48">
        <v>155100</v>
      </c>
      <c r="I48">
        <v>154500</v>
      </c>
      <c r="J48">
        <v>153900</v>
      </c>
      <c r="K48">
        <v>153200</v>
      </c>
      <c r="L48">
        <v>152800</v>
      </c>
      <c r="M48">
        <v>152900</v>
      </c>
      <c r="N48">
        <v>153600</v>
      </c>
      <c r="O48">
        <v>155400</v>
      </c>
      <c r="P48">
        <v>158000</v>
      </c>
      <c r="Q48">
        <v>161100</v>
      </c>
      <c r="R48">
        <v>164600</v>
      </c>
      <c r="S48">
        <v>168200</v>
      </c>
      <c r="T48">
        <v>171500</v>
      </c>
      <c r="U48">
        <v>174500</v>
      </c>
      <c r="V48">
        <v>177100</v>
      </c>
      <c r="W48">
        <v>179100</v>
      </c>
      <c r="X48">
        <v>180700</v>
      </c>
      <c r="Y48">
        <v>182000</v>
      </c>
      <c r="Z48">
        <v>183000</v>
      </c>
      <c r="AA48">
        <v>183900</v>
      </c>
      <c r="AB48">
        <v>184800</v>
      </c>
      <c r="AC48">
        <v>185600</v>
      </c>
      <c r="AD48">
        <v>186200</v>
      </c>
      <c r="AE48">
        <v>186900</v>
      </c>
      <c r="AF48">
        <v>187500</v>
      </c>
      <c r="AG48">
        <v>188200</v>
      </c>
      <c r="AH48">
        <v>188800</v>
      </c>
      <c r="AI48">
        <v>189400</v>
      </c>
      <c r="AJ48">
        <v>190000</v>
      </c>
      <c r="AK48">
        <v>190500</v>
      </c>
      <c r="AL48">
        <v>191000</v>
      </c>
      <c r="AM48">
        <v>191400</v>
      </c>
      <c r="AN48">
        <v>191800</v>
      </c>
      <c r="AO48">
        <v>192200</v>
      </c>
      <c r="AP48">
        <v>192800</v>
      </c>
      <c r="AQ48">
        <v>193600</v>
      </c>
      <c r="AR48">
        <v>194800</v>
      </c>
      <c r="AS48">
        <v>196300</v>
      </c>
      <c r="AT48">
        <v>198000</v>
      </c>
      <c r="AU48">
        <v>199800</v>
      </c>
      <c r="AV48">
        <v>201500</v>
      </c>
      <c r="AW48">
        <v>203100</v>
      </c>
      <c r="AX48">
        <v>204400</v>
      </c>
      <c r="AY48">
        <v>205400</v>
      </c>
      <c r="AZ48">
        <v>206400</v>
      </c>
      <c r="BA48">
        <v>207400</v>
      </c>
      <c r="BB48">
        <v>208500</v>
      </c>
      <c r="BC48">
        <v>209700</v>
      </c>
      <c r="BD48">
        <v>211000</v>
      </c>
      <c r="BE48">
        <v>212400</v>
      </c>
      <c r="BF48">
        <v>213800</v>
      </c>
      <c r="BG48">
        <v>215300</v>
      </c>
      <c r="BH48">
        <v>216800</v>
      </c>
      <c r="BI48">
        <v>218300</v>
      </c>
      <c r="BJ48">
        <v>219900</v>
      </c>
      <c r="BK48">
        <v>221600</v>
      </c>
      <c r="BL48">
        <v>223300</v>
      </c>
      <c r="BM48">
        <v>225100</v>
      </c>
      <c r="BN48">
        <v>226700</v>
      </c>
      <c r="BO48">
        <v>228300</v>
      </c>
      <c r="BP48">
        <v>229900</v>
      </c>
      <c r="BQ48">
        <v>231500</v>
      </c>
      <c r="BR48">
        <v>233400</v>
      </c>
      <c r="BS48">
        <v>235700</v>
      </c>
      <c r="BT48">
        <v>238200</v>
      </c>
      <c r="BU48">
        <v>240900</v>
      </c>
      <c r="BV48">
        <v>243700</v>
      </c>
      <c r="BW48">
        <v>246200</v>
      </c>
      <c r="BX48">
        <v>248300</v>
      </c>
      <c r="BY48">
        <v>250100</v>
      </c>
      <c r="BZ48">
        <v>251900</v>
      </c>
      <c r="CA48">
        <v>253600</v>
      </c>
      <c r="CB48">
        <v>255200</v>
      </c>
      <c r="CC48">
        <v>256700</v>
      </c>
      <c r="CD48">
        <v>258300</v>
      </c>
      <c r="CE48">
        <v>259800</v>
      </c>
      <c r="CF48">
        <v>261300</v>
      </c>
      <c r="CG48">
        <v>262700</v>
      </c>
      <c r="CH48">
        <v>264100</v>
      </c>
      <c r="CI48">
        <v>265500</v>
      </c>
      <c r="CJ48">
        <v>266800</v>
      </c>
      <c r="CK48">
        <v>268000</v>
      </c>
      <c r="CL48">
        <v>269200</v>
      </c>
      <c r="CM48">
        <v>270100</v>
      </c>
      <c r="CN48">
        <v>270900</v>
      </c>
      <c r="CO48">
        <v>271600</v>
      </c>
      <c r="CP48">
        <v>272200</v>
      </c>
      <c r="CQ48">
        <v>272500</v>
      </c>
      <c r="CR48">
        <v>272600</v>
      </c>
      <c r="CS48">
        <v>272800</v>
      </c>
      <c r="CT48">
        <v>273000</v>
      </c>
      <c r="CU48">
        <v>273100</v>
      </c>
      <c r="CV48">
        <v>273200</v>
      </c>
      <c r="CW48">
        <v>273300</v>
      </c>
      <c r="CX48">
        <v>273400</v>
      </c>
      <c r="CY48">
        <v>273400</v>
      </c>
      <c r="CZ48">
        <v>273500</v>
      </c>
      <c r="DA48">
        <v>273400</v>
      </c>
      <c r="DB48">
        <v>273300</v>
      </c>
      <c r="DC48">
        <v>273400</v>
      </c>
      <c r="DD48">
        <v>273400</v>
      </c>
      <c r="DE48">
        <v>273600</v>
      </c>
      <c r="DF48">
        <v>273800</v>
      </c>
      <c r="DG48">
        <v>274000</v>
      </c>
      <c r="DH48">
        <v>274400</v>
      </c>
      <c r="DI48">
        <v>274700</v>
      </c>
      <c r="DJ48">
        <v>275100</v>
      </c>
      <c r="DK48">
        <v>275400</v>
      </c>
      <c r="DL48">
        <v>275600</v>
      </c>
      <c r="DM48">
        <v>275800</v>
      </c>
      <c r="DN48">
        <v>276000</v>
      </c>
      <c r="DO48">
        <v>276100</v>
      </c>
      <c r="DP48">
        <v>276100</v>
      </c>
      <c r="DQ48">
        <v>276100</v>
      </c>
      <c r="DR48">
        <v>276200</v>
      </c>
      <c r="DS48">
        <v>276200</v>
      </c>
      <c r="DT48">
        <v>276400</v>
      </c>
      <c r="DU48">
        <v>276500</v>
      </c>
      <c r="DV48">
        <v>276600</v>
      </c>
      <c r="DW48">
        <v>277000</v>
      </c>
      <c r="DX48">
        <v>277600</v>
      </c>
      <c r="DY48">
        <v>278300</v>
      </c>
      <c r="DZ48">
        <v>278500</v>
      </c>
      <c r="EA48">
        <v>278500</v>
      </c>
      <c r="EB48">
        <v>278500</v>
      </c>
      <c r="EC48">
        <v>278600</v>
      </c>
      <c r="ED48">
        <v>278600</v>
      </c>
      <c r="EE48">
        <v>278800</v>
      </c>
      <c r="EF48">
        <v>279000</v>
      </c>
      <c r="EG48">
        <v>279000</v>
      </c>
      <c r="EH48">
        <v>278800</v>
      </c>
      <c r="EI48">
        <v>278600</v>
      </c>
      <c r="EJ48">
        <v>278400</v>
      </c>
      <c r="EK48">
        <v>278100</v>
      </c>
      <c r="EL48">
        <v>278200</v>
      </c>
      <c r="EM48">
        <v>278300</v>
      </c>
      <c r="EN48">
        <v>278500</v>
      </c>
      <c r="EO48">
        <v>278500</v>
      </c>
      <c r="EP48">
        <v>278200</v>
      </c>
      <c r="EQ48">
        <v>277800</v>
      </c>
      <c r="ER48">
        <v>277400</v>
      </c>
      <c r="ES48">
        <v>277200</v>
      </c>
      <c r="ET48">
        <v>277100</v>
      </c>
      <c r="EU48">
        <v>276800</v>
      </c>
      <c r="EV48">
        <v>276900</v>
      </c>
      <c r="EW48">
        <v>277100</v>
      </c>
      <c r="EX48">
        <v>277200</v>
      </c>
      <c r="EY48">
        <v>277300</v>
      </c>
      <c r="EZ48">
        <v>277400</v>
      </c>
      <c r="FA48">
        <v>277600</v>
      </c>
      <c r="FB48">
        <v>278200</v>
      </c>
      <c r="FC48">
        <v>278800</v>
      </c>
      <c r="FD48">
        <v>279000</v>
      </c>
      <c r="FE48">
        <v>279100</v>
      </c>
      <c r="FF48">
        <v>279300</v>
      </c>
      <c r="FG48">
        <v>279900</v>
      </c>
      <c r="FH48">
        <v>280800</v>
      </c>
      <c r="FI48">
        <v>281700</v>
      </c>
      <c r="FJ48">
        <v>282500</v>
      </c>
      <c r="FK48">
        <v>283200</v>
      </c>
      <c r="FL48">
        <v>283900</v>
      </c>
      <c r="FM48">
        <v>284400</v>
      </c>
      <c r="FN48">
        <v>284700</v>
      </c>
      <c r="FO48">
        <v>284800</v>
      </c>
      <c r="FP48">
        <v>285000</v>
      </c>
      <c r="FQ48">
        <v>285400</v>
      </c>
      <c r="FR48">
        <v>286200</v>
      </c>
      <c r="FS48">
        <v>286500</v>
      </c>
      <c r="FT48">
        <v>285500</v>
      </c>
      <c r="FU48">
        <v>284600</v>
      </c>
      <c r="FV48">
        <v>285400</v>
      </c>
      <c r="FW48">
        <v>287500</v>
      </c>
      <c r="FX48">
        <v>289500</v>
      </c>
      <c r="FY48">
        <v>291300</v>
      </c>
      <c r="FZ48">
        <v>293100</v>
      </c>
      <c r="GA48">
        <v>294800</v>
      </c>
      <c r="GB48">
        <v>296400</v>
      </c>
      <c r="GC48">
        <v>297800</v>
      </c>
      <c r="GD48">
        <v>299400</v>
      </c>
      <c r="GE48">
        <v>301000</v>
      </c>
      <c r="GF48">
        <v>302400</v>
      </c>
      <c r="GG48">
        <v>303100</v>
      </c>
      <c r="GH48">
        <v>302800</v>
      </c>
      <c r="GI48">
        <v>301700</v>
      </c>
      <c r="GJ48">
        <v>301000</v>
      </c>
      <c r="GK48">
        <v>300800</v>
      </c>
      <c r="GL48">
        <v>300400</v>
      </c>
      <c r="GM48">
        <v>300000</v>
      </c>
      <c r="GN48">
        <v>300600</v>
      </c>
      <c r="GO48">
        <v>301900</v>
      </c>
      <c r="GP48">
        <v>302500</v>
      </c>
      <c r="GQ48">
        <v>302500</v>
      </c>
      <c r="GR48">
        <v>303100</v>
      </c>
      <c r="GS48">
        <v>304100</v>
      </c>
      <c r="GT48">
        <v>304900</v>
      </c>
      <c r="GU48">
        <v>305100</v>
      </c>
      <c r="GV48">
        <v>304800</v>
      </c>
      <c r="GW48">
        <v>304400</v>
      </c>
      <c r="GX48">
        <v>304000</v>
      </c>
      <c r="GY48">
        <v>303900</v>
      </c>
      <c r="GZ48">
        <v>303800</v>
      </c>
      <c r="HA48">
        <v>304100</v>
      </c>
      <c r="HB48">
        <v>304700</v>
      </c>
      <c r="HC48">
        <v>305200</v>
      </c>
      <c r="HD48">
        <v>305400</v>
      </c>
      <c r="HE48">
        <v>305700</v>
      </c>
      <c r="HF48">
        <v>305800</v>
      </c>
      <c r="HG48">
        <v>305800</v>
      </c>
      <c r="HH48">
        <v>306200</v>
      </c>
      <c r="HI48">
        <v>306900</v>
      </c>
      <c r="HJ48">
        <v>307600</v>
      </c>
      <c r="HK48">
        <v>308400</v>
      </c>
      <c r="HL48">
        <v>308700</v>
      </c>
      <c r="HM48">
        <v>307900</v>
      </c>
      <c r="HN48">
        <v>306900</v>
      </c>
      <c r="HO48">
        <v>306700</v>
      </c>
      <c r="HP48">
        <v>307300</v>
      </c>
      <c r="HQ48">
        <v>308300</v>
      </c>
      <c r="HR48">
        <v>309200</v>
      </c>
      <c r="HS48">
        <v>309800</v>
      </c>
      <c r="HT48">
        <v>310200</v>
      </c>
    </row>
    <row r="49" spans="1:228" x14ac:dyDescent="0.3">
      <c r="A49">
        <v>37</v>
      </c>
      <c r="B49" t="s">
        <v>275</v>
      </c>
      <c r="C49">
        <v>48</v>
      </c>
      <c r="BN49">
        <v>124500</v>
      </c>
      <c r="BO49">
        <v>121300</v>
      </c>
      <c r="BP49">
        <v>118200</v>
      </c>
      <c r="BQ49">
        <v>117300</v>
      </c>
      <c r="BR49">
        <v>118400</v>
      </c>
      <c r="BS49">
        <v>119700</v>
      </c>
      <c r="BT49">
        <v>120400</v>
      </c>
      <c r="BU49">
        <v>120900</v>
      </c>
      <c r="BV49">
        <v>121400</v>
      </c>
      <c r="BW49">
        <v>121200</v>
      </c>
      <c r="BX49">
        <v>121000</v>
      </c>
      <c r="BY49">
        <v>121800</v>
      </c>
      <c r="BZ49">
        <v>123100</v>
      </c>
      <c r="CA49">
        <v>123900</v>
      </c>
      <c r="CB49">
        <v>124700</v>
      </c>
      <c r="CC49">
        <v>125200</v>
      </c>
      <c r="CD49">
        <v>125100</v>
      </c>
      <c r="CE49">
        <v>125000</v>
      </c>
      <c r="CF49">
        <v>125000</v>
      </c>
      <c r="CG49">
        <v>125400</v>
      </c>
      <c r="CH49">
        <v>126400</v>
      </c>
      <c r="CI49">
        <v>126700</v>
      </c>
      <c r="CJ49">
        <v>126800</v>
      </c>
      <c r="CK49">
        <v>127400</v>
      </c>
      <c r="CL49">
        <v>128900</v>
      </c>
      <c r="CM49">
        <v>129900</v>
      </c>
      <c r="CN49">
        <v>130100</v>
      </c>
      <c r="CO49">
        <v>130100</v>
      </c>
      <c r="CP49">
        <v>130700</v>
      </c>
      <c r="CQ49">
        <v>131400</v>
      </c>
      <c r="CR49">
        <v>132000</v>
      </c>
      <c r="CS49">
        <v>132400</v>
      </c>
      <c r="CT49">
        <v>132900</v>
      </c>
      <c r="CU49">
        <v>132900</v>
      </c>
      <c r="CV49">
        <v>132900</v>
      </c>
      <c r="CW49">
        <v>133500</v>
      </c>
      <c r="CX49">
        <v>134200</v>
      </c>
      <c r="CY49">
        <v>134400</v>
      </c>
      <c r="CZ49">
        <v>134600</v>
      </c>
      <c r="DA49">
        <v>134500</v>
      </c>
      <c r="DB49">
        <v>134000</v>
      </c>
      <c r="DC49">
        <v>133700</v>
      </c>
      <c r="DD49">
        <v>133600</v>
      </c>
      <c r="DE49">
        <v>133600</v>
      </c>
      <c r="DF49">
        <v>133700</v>
      </c>
      <c r="DG49">
        <v>133400</v>
      </c>
      <c r="DH49">
        <v>133100</v>
      </c>
      <c r="DI49">
        <v>133400</v>
      </c>
      <c r="DJ49">
        <v>134000</v>
      </c>
      <c r="DK49">
        <v>134500</v>
      </c>
      <c r="DL49">
        <v>135100</v>
      </c>
      <c r="DM49">
        <v>135200</v>
      </c>
      <c r="DN49">
        <v>135200</v>
      </c>
      <c r="DO49">
        <v>135300</v>
      </c>
      <c r="DP49">
        <v>135400</v>
      </c>
      <c r="DQ49">
        <v>135400</v>
      </c>
      <c r="DR49">
        <v>135300</v>
      </c>
      <c r="DS49">
        <v>135200</v>
      </c>
      <c r="DT49">
        <v>135300</v>
      </c>
      <c r="DU49">
        <v>135500</v>
      </c>
      <c r="DV49">
        <v>135900</v>
      </c>
      <c r="DW49">
        <v>136100</v>
      </c>
      <c r="DX49">
        <v>136600</v>
      </c>
      <c r="DY49">
        <v>137300</v>
      </c>
      <c r="DZ49">
        <v>137800</v>
      </c>
      <c r="EA49">
        <v>138400</v>
      </c>
      <c r="EB49">
        <v>139200</v>
      </c>
      <c r="EC49">
        <v>139900</v>
      </c>
      <c r="ED49">
        <v>140300</v>
      </c>
      <c r="EE49">
        <v>140800</v>
      </c>
      <c r="EF49">
        <v>141200</v>
      </c>
      <c r="EG49">
        <v>141500</v>
      </c>
      <c r="EH49">
        <v>141800</v>
      </c>
      <c r="EI49">
        <v>142300</v>
      </c>
      <c r="EJ49">
        <v>143200</v>
      </c>
      <c r="EK49">
        <v>144100</v>
      </c>
      <c r="EL49">
        <v>144600</v>
      </c>
      <c r="EM49">
        <v>144500</v>
      </c>
      <c r="EN49">
        <v>143800</v>
      </c>
      <c r="EO49">
        <v>143000</v>
      </c>
      <c r="EP49">
        <v>142800</v>
      </c>
      <c r="EQ49">
        <v>142900</v>
      </c>
      <c r="ER49">
        <v>143300</v>
      </c>
      <c r="ES49">
        <v>144000</v>
      </c>
      <c r="ET49">
        <v>144500</v>
      </c>
      <c r="EU49">
        <v>144800</v>
      </c>
      <c r="EV49">
        <v>145200</v>
      </c>
      <c r="EW49">
        <v>145600</v>
      </c>
      <c r="EX49">
        <v>146000</v>
      </c>
      <c r="EY49">
        <v>146700</v>
      </c>
      <c r="EZ49">
        <v>147700</v>
      </c>
      <c r="FA49">
        <v>149300</v>
      </c>
      <c r="FB49">
        <v>151200</v>
      </c>
      <c r="FC49">
        <v>152900</v>
      </c>
      <c r="FD49">
        <v>154300</v>
      </c>
      <c r="FE49">
        <v>155700</v>
      </c>
      <c r="FF49">
        <v>157100</v>
      </c>
      <c r="FG49">
        <v>158300</v>
      </c>
      <c r="FH49">
        <v>159300</v>
      </c>
      <c r="FI49">
        <v>160500</v>
      </c>
      <c r="FJ49">
        <v>162000</v>
      </c>
      <c r="FK49">
        <v>163500</v>
      </c>
      <c r="FL49">
        <v>164700</v>
      </c>
      <c r="FM49">
        <v>165700</v>
      </c>
      <c r="FN49">
        <v>166700</v>
      </c>
      <c r="FO49">
        <v>167500</v>
      </c>
      <c r="FP49">
        <v>168300</v>
      </c>
      <c r="FQ49">
        <v>169100</v>
      </c>
      <c r="FR49">
        <v>169800</v>
      </c>
      <c r="FS49">
        <v>170800</v>
      </c>
      <c r="FT49">
        <v>171800</v>
      </c>
      <c r="FU49">
        <v>172600</v>
      </c>
      <c r="FV49">
        <v>173500</v>
      </c>
      <c r="FW49">
        <v>174600</v>
      </c>
      <c r="FX49">
        <v>176100</v>
      </c>
      <c r="FY49">
        <v>177500</v>
      </c>
      <c r="FZ49">
        <v>178800</v>
      </c>
      <c r="GA49">
        <v>179800</v>
      </c>
      <c r="GB49">
        <v>180900</v>
      </c>
      <c r="GC49">
        <v>182100</v>
      </c>
      <c r="GD49">
        <v>183300</v>
      </c>
      <c r="GE49">
        <v>184400</v>
      </c>
      <c r="GF49">
        <v>185900</v>
      </c>
      <c r="GG49">
        <v>187500</v>
      </c>
      <c r="GH49">
        <v>188500</v>
      </c>
      <c r="GI49">
        <v>189200</v>
      </c>
      <c r="GJ49">
        <v>190000</v>
      </c>
      <c r="GK49">
        <v>190500</v>
      </c>
      <c r="GL49">
        <v>190800</v>
      </c>
      <c r="GM49">
        <v>191200</v>
      </c>
      <c r="GN49">
        <v>191900</v>
      </c>
      <c r="GO49">
        <v>192700</v>
      </c>
      <c r="GP49">
        <v>193900</v>
      </c>
      <c r="GQ49">
        <v>194800</v>
      </c>
      <c r="GR49">
        <v>195500</v>
      </c>
      <c r="GS49">
        <v>196000</v>
      </c>
      <c r="GT49">
        <v>196600</v>
      </c>
      <c r="GU49">
        <v>197200</v>
      </c>
      <c r="GV49">
        <v>197900</v>
      </c>
      <c r="GW49">
        <v>198700</v>
      </c>
      <c r="GX49">
        <v>199400</v>
      </c>
      <c r="GY49">
        <v>199900</v>
      </c>
      <c r="GZ49">
        <v>200400</v>
      </c>
      <c r="HA49">
        <v>201200</v>
      </c>
      <c r="HB49">
        <v>201900</v>
      </c>
      <c r="HC49">
        <v>202400</v>
      </c>
      <c r="HD49">
        <v>202900</v>
      </c>
      <c r="HE49">
        <v>203200</v>
      </c>
      <c r="HF49">
        <v>203500</v>
      </c>
      <c r="HG49">
        <v>203500</v>
      </c>
      <c r="HH49">
        <v>203600</v>
      </c>
      <c r="HI49">
        <v>203800</v>
      </c>
      <c r="HJ49">
        <v>203600</v>
      </c>
      <c r="HK49">
        <v>203300</v>
      </c>
      <c r="HL49">
        <v>203300</v>
      </c>
      <c r="HM49">
        <v>203300</v>
      </c>
      <c r="HN49">
        <v>203400</v>
      </c>
      <c r="HO49">
        <v>203500</v>
      </c>
      <c r="HP49">
        <v>203300</v>
      </c>
      <c r="HQ49">
        <v>202800</v>
      </c>
      <c r="HR49">
        <v>202500</v>
      </c>
      <c r="HS49">
        <v>202800</v>
      </c>
      <c r="HT49">
        <v>203300</v>
      </c>
    </row>
    <row r="50" spans="1:228" x14ac:dyDescent="0.3">
      <c r="A50">
        <v>58</v>
      </c>
      <c r="B50" t="s">
        <v>276</v>
      </c>
      <c r="C50">
        <v>49</v>
      </c>
      <c r="D50">
        <v>104900</v>
      </c>
      <c r="E50">
        <v>105700</v>
      </c>
      <c r="F50">
        <v>106500</v>
      </c>
      <c r="G50">
        <v>107300</v>
      </c>
      <c r="H50">
        <v>108000</v>
      </c>
      <c r="I50">
        <v>108600</v>
      </c>
      <c r="J50">
        <v>109200</v>
      </c>
      <c r="K50">
        <v>109800</v>
      </c>
      <c r="L50">
        <v>110300</v>
      </c>
      <c r="M50">
        <v>110800</v>
      </c>
      <c r="N50">
        <v>111500</v>
      </c>
      <c r="O50">
        <v>112100</v>
      </c>
      <c r="P50">
        <v>112800</v>
      </c>
      <c r="Q50">
        <v>113500</v>
      </c>
      <c r="R50">
        <v>114300</v>
      </c>
      <c r="S50">
        <v>115000</v>
      </c>
      <c r="T50">
        <v>115700</v>
      </c>
      <c r="U50">
        <v>116300</v>
      </c>
      <c r="V50">
        <v>116900</v>
      </c>
      <c r="W50">
        <v>117500</v>
      </c>
      <c r="X50">
        <v>118100</v>
      </c>
      <c r="Y50">
        <v>118800</v>
      </c>
      <c r="Z50">
        <v>119600</v>
      </c>
      <c r="AA50">
        <v>120600</v>
      </c>
      <c r="AB50">
        <v>121600</v>
      </c>
      <c r="AC50">
        <v>122600</v>
      </c>
      <c r="AD50">
        <v>123700</v>
      </c>
      <c r="AE50">
        <v>124700</v>
      </c>
      <c r="AF50">
        <v>125800</v>
      </c>
      <c r="AG50">
        <v>126700</v>
      </c>
      <c r="AH50">
        <v>127600</v>
      </c>
      <c r="AI50">
        <v>128500</v>
      </c>
      <c r="AJ50">
        <v>129400</v>
      </c>
      <c r="AK50">
        <v>130300</v>
      </c>
      <c r="AL50">
        <v>131200</v>
      </c>
      <c r="AM50">
        <v>132200</v>
      </c>
      <c r="AN50">
        <v>133200</v>
      </c>
      <c r="AO50">
        <v>134300</v>
      </c>
      <c r="AP50">
        <v>135200</v>
      </c>
      <c r="AQ50">
        <v>136200</v>
      </c>
      <c r="AR50">
        <v>137300</v>
      </c>
      <c r="AS50">
        <v>138400</v>
      </c>
      <c r="AT50">
        <v>139800</v>
      </c>
      <c r="AU50">
        <v>141300</v>
      </c>
      <c r="AV50">
        <v>142800</v>
      </c>
      <c r="AW50">
        <v>144100</v>
      </c>
      <c r="AX50">
        <v>145100</v>
      </c>
      <c r="AY50">
        <v>146100</v>
      </c>
      <c r="AZ50">
        <v>147100</v>
      </c>
      <c r="BA50">
        <v>148200</v>
      </c>
      <c r="BB50">
        <v>149400</v>
      </c>
      <c r="BC50">
        <v>150900</v>
      </c>
      <c r="BD50">
        <v>152400</v>
      </c>
      <c r="BE50">
        <v>154200</v>
      </c>
      <c r="BF50">
        <v>155900</v>
      </c>
      <c r="BG50">
        <v>157500</v>
      </c>
      <c r="BH50">
        <v>159100</v>
      </c>
      <c r="BI50">
        <v>160800</v>
      </c>
      <c r="BJ50">
        <v>162600</v>
      </c>
      <c r="BK50">
        <v>164500</v>
      </c>
      <c r="BL50">
        <v>166500</v>
      </c>
      <c r="BM50">
        <v>168400</v>
      </c>
      <c r="BN50">
        <v>170400</v>
      </c>
      <c r="BO50">
        <v>172500</v>
      </c>
      <c r="BP50">
        <v>174400</v>
      </c>
      <c r="BQ50">
        <v>176300</v>
      </c>
      <c r="BR50">
        <v>178000</v>
      </c>
      <c r="BS50">
        <v>179500</v>
      </c>
      <c r="BT50">
        <v>180900</v>
      </c>
      <c r="BU50">
        <v>182100</v>
      </c>
      <c r="BV50">
        <v>183200</v>
      </c>
      <c r="BW50">
        <v>184100</v>
      </c>
      <c r="BX50">
        <v>185000</v>
      </c>
      <c r="BY50">
        <v>185800</v>
      </c>
      <c r="BZ50">
        <v>186500</v>
      </c>
      <c r="CA50">
        <v>187100</v>
      </c>
      <c r="CB50">
        <v>187700</v>
      </c>
      <c r="CC50">
        <v>188200</v>
      </c>
      <c r="CD50">
        <v>188700</v>
      </c>
      <c r="CE50">
        <v>189200</v>
      </c>
      <c r="CF50">
        <v>189900</v>
      </c>
      <c r="CG50">
        <v>190500</v>
      </c>
      <c r="CH50">
        <v>191200</v>
      </c>
      <c r="CI50">
        <v>191700</v>
      </c>
      <c r="CJ50">
        <v>192100</v>
      </c>
      <c r="CK50">
        <v>192400</v>
      </c>
      <c r="CL50">
        <v>192600</v>
      </c>
      <c r="CM50">
        <v>192600</v>
      </c>
      <c r="CN50">
        <v>192400</v>
      </c>
      <c r="CO50">
        <v>192200</v>
      </c>
      <c r="CP50">
        <v>192000</v>
      </c>
      <c r="CQ50">
        <v>191800</v>
      </c>
      <c r="CR50">
        <v>191800</v>
      </c>
      <c r="CS50">
        <v>191900</v>
      </c>
      <c r="CT50">
        <v>192000</v>
      </c>
      <c r="CU50">
        <v>192100</v>
      </c>
      <c r="CV50">
        <v>192300</v>
      </c>
      <c r="CW50">
        <v>192300</v>
      </c>
      <c r="CX50">
        <v>192100</v>
      </c>
      <c r="CY50">
        <v>191600</v>
      </c>
      <c r="CZ50">
        <v>190900</v>
      </c>
      <c r="DA50">
        <v>190100</v>
      </c>
      <c r="DB50">
        <v>189300</v>
      </c>
      <c r="DC50">
        <v>188400</v>
      </c>
      <c r="DD50">
        <v>187600</v>
      </c>
      <c r="DE50">
        <v>186800</v>
      </c>
      <c r="DF50">
        <v>186000</v>
      </c>
      <c r="DG50">
        <v>185200</v>
      </c>
      <c r="DH50">
        <v>184600</v>
      </c>
      <c r="DI50">
        <v>184000</v>
      </c>
      <c r="DJ50">
        <v>183300</v>
      </c>
      <c r="DK50">
        <v>182400</v>
      </c>
      <c r="DL50">
        <v>181500</v>
      </c>
      <c r="DM50">
        <v>180700</v>
      </c>
      <c r="DN50">
        <v>180200</v>
      </c>
      <c r="DO50">
        <v>179800</v>
      </c>
      <c r="DP50">
        <v>179400</v>
      </c>
      <c r="DQ50">
        <v>179000</v>
      </c>
      <c r="DR50">
        <v>178700</v>
      </c>
      <c r="DS50">
        <v>178400</v>
      </c>
      <c r="DT50">
        <v>178200</v>
      </c>
      <c r="DU50">
        <v>178100</v>
      </c>
      <c r="DV50">
        <v>178300</v>
      </c>
      <c r="DW50">
        <v>179000</v>
      </c>
      <c r="DX50">
        <v>180200</v>
      </c>
      <c r="DY50">
        <v>181300</v>
      </c>
      <c r="DZ50">
        <v>181700</v>
      </c>
      <c r="EA50">
        <v>181500</v>
      </c>
      <c r="EB50">
        <v>181100</v>
      </c>
      <c r="EC50">
        <v>180400</v>
      </c>
      <c r="ED50">
        <v>179700</v>
      </c>
      <c r="EE50">
        <v>179400</v>
      </c>
      <c r="EF50">
        <v>178800</v>
      </c>
      <c r="EG50">
        <v>178200</v>
      </c>
      <c r="EH50">
        <v>178000</v>
      </c>
      <c r="EI50">
        <v>178100</v>
      </c>
      <c r="EJ50">
        <v>177900</v>
      </c>
      <c r="EK50">
        <v>177600</v>
      </c>
      <c r="EL50">
        <v>177200</v>
      </c>
      <c r="EM50">
        <v>177200</v>
      </c>
      <c r="EN50">
        <v>177600</v>
      </c>
      <c r="EO50">
        <v>178300</v>
      </c>
      <c r="EP50">
        <v>178900</v>
      </c>
      <c r="EQ50">
        <v>179200</v>
      </c>
      <c r="ER50">
        <v>179400</v>
      </c>
      <c r="ES50">
        <v>179200</v>
      </c>
      <c r="ET50">
        <v>178800</v>
      </c>
      <c r="EU50">
        <v>178200</v>
      </c>
      <c r="EV50">
        <v>177800</v>
      </c>
      <c r="EW50">
        <v>177800</v>
      </c>
      <c r="EX50">
        <v>178200</v>
      </c>
      <c r="EY50">
        <v>178600</v>
      </c>
      <c r="EZ50">
        <v>178900</v>
      </c>
      <c r="FA50">
        <v>179000</v>
      </c>
      <c r="FB50">
        <v>179000</v>
      </c>
      <c r="FC50">
        <v>179100</v>
      </c>
      <c r="FD50">
        <v>179500</v>
      </c>
      <c r="FE50">
        <v>179700</v>
      </c>
      <c r="FF50">
        <v>179700</v>
      </c>
      <c r="FG50">
        <v>179800</v>
      </c>
      <c r="FH50">
        <v>179900</v>
      </c>
      <c r="FI50">
        <v>179700</v>
      </c>
      <c r="FJ50">
        <v>179700</v>
      </c>
      <c r="FK50">
        <v>179800</v>
      </c>
      <c r="FL50">
        <v>180000</v>
      </c>
      <c r="FM50">
        <v>180700</v>
      </c>
      <c r="FN50">
        <v>181200</v>
      </c>
      <c r="FO50">
        <v>181100</v>
      </c>
      <c r="FP50">
        <v>181200</v>
      </c>
      <c r="FQ50">
        <v>181900</v>
      </c>
      <c r="FR50">
        <v>182800</v>
      </c>
      <c r="FS50">
        <v>183300</v>
      </c>
      <c r="FT50">
        <v>183200</v>
      </c>
      <c r="FU50">
        <v>183100</v>
      </c>
      <c r="FV50">
        <v>183000</v>
      </c>
      <c r="FW50">
        <v>182900</v>
      </c>
      <c r="FX50">
        <v>182800</v>
      </c>
      <c r="FY50">
        <v>182800</v>
      </c>
      <c r="FZ50">
        <v>182900</v>
      </c>
      <c r="GA50">
        <v>183300</v>
      </c>
      <c r="GB50">
        <v>183100</v>
      </c>
      <c r="GC50">
        <v>182600</v>
      </c>
      <c r="GD50">
        <v>182500</v>
      </c>
      <c r="GE50">
        <v>182600</v>
      </c>
      <c r="GF50">
        <v>182900</v>
      </c>
      <c r="GG50">
        <v>183600</v>
      </c>
      <c r="GH50">
        <v>183900</v>
      </c>
      <c r="GI50">
        <v>183800</v>
      </c>
      <c r="GJ50">
        <v>183600</v>
      </c>
      <c r="GK50">
        <v>183400</v>
      </c>
      <c r="GL50">
        <v>183400</v>
      </c>
      <c r="GM50">
        <v>183300</v>
      </c>
      <c r="GN50">
        <v>183300</v>
      </c>
      <c r="GO50">
        <v>183500</v>
      </c>
      <c r="GP50">
        <v>184100</v>
      </c>
      <c r="GQ50">
        <v>184700</v>
      </c>
      <c r="GR50">
        <v>185100</v>
      </c>
      <c r="GS50">
        <v>185600</v>
      </c>
      <c r="GT50">
        <v>186200</v>
      </c>
      <c r="GU50">
        <v>186300</v>
      </c>
      <c r="GV50">
        <v>186000</v>
      </c>
      <c r="GW50">
        <v>186100</v>
      </c>
      <c r="GX50">
        <v>186500</v>
      </c>
      <c r="GY50">
        <v>187300</v>
      </c>
      <c r="GZ50">
        <v>188700</v>
      </c>
      <c r="HA50">
        <v>190000</v>
      </c>
      <c r="HB50">
        <v>190600</v>
      </c>
      <c r="HC50">
        <v>190900</v>
      </c>
      <c r="HD50">
        <v>191500</v>
      </c>
      <c r="HE50">
        <v>191900</v>
      </c>
      <c r="HF50">
        <v>192000</v>
      </c>
      <c r="HG50">
        <v>192200</v>
      </c>
      <c r="HH50">
        <v>192600</v>
      </c>
      <c r="HI50">
        <v>193000</v>
      </c>
      <c r="HJ50">
        <v>193600</v>
      </c>
      <c r="HK50">
        <v>194100</v>
      </c>
      <c r="HL50">
        <v>194400</v>
      </c>
      <c r="HM50">
        <v>194600</v>
      </c>
      <c r="HN50">
        <v>194700</v>
      </c>
      <c r="HO50">
        <v>194900</v>
      </c>
      <c r="HP50">
        <v>195100</v>
      </c>
      <c r="HQ50">
        <v>195200</v>
      </c>
      <c r="HR50">
        <v>196100</v>
      </c>
      <c r="HS50">
        <v>198200</v>
      </c>
      <c r="HT50">
        <v>200000</v>
      </c>
    </row>
    <row r="51" spans="1:228" x14ac:dyDescent="0.3">
      <c r="A51">
        <v>12</v>
      </c>
      <c r="B51" t="s">
        <v>277</v>
      </c>
      <c r="C51">
        <v>50</v>
      </c>
      <c r="D51">
        <v>140000</v>
      </c>
      <c r="E51">
        <v>141000</v>
      </c>
      <c r="F51">
        <v>142000</v>
      </c>
      <c r="G51">
        <v>143100</v>
      </c>
      <c r="H51">
        <v>144300</v>
      </c>
      <c r="I51">
        <v>145500</v>
      </c>
      <c r="J51">
        <v>146700</v>
      </c>
      <c r="K51">
        <v>147800</v>
      </c>
      <c r="L51">
        <v>148900</v>
      </c>
      <c r="M51">
        <v>150000</v>
      </c>
      <c r="N51">
        <v>151400</v>
      </c>
      <c r="O51">
        <v>153000</v>
      </c>
      <c r="P51">
        <v>154800</v>
      </c>
      <c r="Q51">
        <v>156700</v>
      </c>
      <c r="R51">
        <v>158700</v>
      </c>
      <c r="S51">
        <v>160900</v>
      </c>
      <c r="T51">
        <v>163100</v>
      </c>
      <c r="U51">
        <v>165300</v>
      </c>
      <c r="V51">
        <v>167600</v>
      </c>
      <c r="W51">
        <v>169900</v>
      </c>
      <c r="X51">
        <v>172100</v>
      </c>
      <c r="Y51">
        <v>174300</v>
      </c>
      <c r="Z51">
        <v>176500</v>
      </c>
      <c r="AA51">
        <v>178900</v>
      </c>
      <c r="AB51">
        <v>181400</v>
      </c>
      <c r="AC51">
        <v>184000</v>
      </c>
      <c r="AD51">
        <v>186800</v>
      </c>
      <c r="AE51">
        <v>189700</v>
      </c>
      <c r="AF51">
        <v>192700</v>
      </c>
      <c r="AG51">
        <v>196000</v>
      </c>
      <c r="AH51">
        <v>199500</v>
      </c>
      <c r="AI51">
        <v>203300</v>
      </c>
      <c r="AJ51">
        <v>207200</v>
      </c>
      <c r="AK51">
        <v>211500</v>
      </c>
      <c r="AL51">
        <v>216100</v>
      </c>
      <c r="AM51">
        <v>220900</v>
      </c>
      <c r="AN51">
        <v>225600</v>
      </c>
      <c r="AO51">
        <v>230000</v>
      </c>
      <c r="AP51">
        <v>234400</v>
      </c>
      <c r="AQ51">
        <v>238600</v>
      </c>
      <c r="AR51">
        <v>242800</v>
      </c>
      <c r="AS51">
        <v>247000</v>
      </c>
      <c r="AT51">
        <v>251100</v>
      </c>
      <c r="AU51">
        <v>255100</v>
      </c>
      <c r="AV51">
        <v>259400</v>
      </c>
      <c r="AW51">
        <v>264000</v>
      </c>
      <c r="AX51">
        <v>268800</v>
      </c>
      <c r="AY51">
        <v>273800</v>
      </c>
      <c r="AZ51">
        <v>278900</v>
      </c>
      <c r="BA51">
        <v>284100</v>
      </c>
      <c r="BB51">
        <v>289600</v>
      </c>
      <c r="BC51">
        <v>295300</v>
      </c>
      <c r="BD51">
        <v>301200</v>
      </c>
      <c r="BE51">
        <v>307500</v>
      </c>
      <c r="BF51">
        <v>313900</v>
      </c>
      <c r="BG51">
        <v>320300</v>
      </c>
      <c r="BH51">
        <v>326700</v>
      </c>
      <c r="BI51">
        <v>332900</v>
      </c>
      <c r="BJ51">
        <v>338400</v>
      </c>
      <c r="BK51">
        <v>343200</v>
      </c>
      <c r="BL51">
        <v>347600</v>
      </c>
      <c r="BM51">
        <v>351900</v>
      </c>
      <c r="BN51">
        <v>356400</v>
      </c>
      <c r="BO51">
        <v>360800</v>
      </c>
      <c r="BP51">
        <v>365000</v>
      </c>
      <c r="BQ51">
        <v>369300</v>
      </c>
      <c r="BR51">
        <v>373800</v>
      </c>
      <c r="BS51">
        <v>378100</v>
      </c>
      <c r="BT51">
        <v>382200</v>
      </c>
      <c r="BU51">
        <v>385800</v>
      </c>
      <c r="BV51">
        <v>388900</v>
      </c>
      <c r="BW51">
        <v>391600</v>
      </c>
      <c r="BX51">
        <v>393900</v>
      </c>
      <c r="BY51">
        <v>395900</v>
      </c>
      <c r="BZ51">
        <v>397600</v>
      </c>
      <c r="CA51">
        <v>398900</v>
      </c>
      <c r="CB51">
        <v>399800</v>
      </c>
      <c r="CC51">
        <v>400400</v>
      </c>
      <c r="CD51">
        <v>400800</v>
      </c>
      <c r="CE51">
        <v>400800</v>
      </c>
      <c r="CF51">
        <v>400500</v>
      </c>
      <c r="CG51">
        <v>400100</v>
      </c>
      <c r="CH51">
        <v>399800</v>
      </c>
      <c r="CI51">
        <v>400100</v>
      </c>
      <c r="CJ51">
        <v>401000</v>
      </c>
      <c r="CK51">
        <v>402300</v>
      </c>
      <c r="CL51">
        <v>403600</v>
      </c>
      <c r="CM51">
        <v>404400</v>
      </c>
      <c r="CN51">
        <v>404700</v>
      </c>
      <c r="CO51">
        <v>404700</v>
      </c>
      <c r="CP51">
        <v>404500</v>
      </c>
      <c r="CQ51">
        <v>403800</v>
      </c>
      <c r="CR51">
        <v>402700</v>
      </c>
      <c r="CS51">
        <v>401400</v>
      </c>
      <c r="CT51">
        <v>399800</v>
      </c>
      <c r="CU51">
        <v>397700</v>
      </c>
      <c r="CV51">
        <v>395400</v>
      </c>
      <c r="CW51">
        <v>393000</v>
      </c>
      <c r="CX51">
        <v>390400</v>
      </c>
      <c r="CY51">
        <v>387600</v>
      </c>
      <c r="CZ51">
        <v>384900</v>
      </c>
      <c r="DA51">
        <v>382500</v>
      </c>
      <c r="DB51">
        <v>380400</v>
      </c>
      <c r="DC51">
        <v>378100</v>
      </c>
      <c r="DD51">
        <v>375700</v>
      </c>
      <c r="DE51">
        <v>373400</v>
      </c>
      <c r="DF51">
        <v>371100</v>
      </c>
      <c r="DG51">
        <v>369000</v>
      </c>
      <c r="DH51">
        <v>367100</v>
      </c>
      <c r="DI51">
        <v>365200</v>
      </c>
      <c r="DJ51">
        <v>363100</v>
      </c>
      <c r="DK51">
        <v>360500</v>
      </c>
      <c r="DL51">
        <v>357800</v>
      </c>
      <c r="DM51">
        <v>355600</v>
      </c>
      <c r="DN51">
        <v>354300</v>
      </c>
      <c r="DO51">
        <v>353600</v>
      </c>
      <c r="DP51">
        <v>353000</v>
      </c>
      <c r="DQ51">
        <v>352700</v>
      </c>
      <c r="DR51">
        <v>352600</v>
      </c>
      <c r="DS51">
        <v>353000</v>
      </c>
      <c r="DT51">
        <v>353400</v>
      </c>
      <c r="DU51">
        <v>353900</v>
      </c>
      <c r="DV51">
        <v>354200</v>
      </c>
      <c r="DW51">
        <v>354600</v>
      </c>
      <c r="DX51">
        <v>354700</v>
      </c>
      <c r="DY51">
        <v>354200</v>
      </c>
      <c r="DZ51">
        <v>353400</v>
      </c>
      <c r="EA51">
        <v>353200</v>
      </c>
      <c r="EB51">
        <v>353600</v>
      </c>
      <c r="EC51">
        <v>354100</v>
      </c>
      <c r="ED51">
        <v>354900</v>
      </c>
      <c r="EE51">
        <v>355900</v>
      </c>
      <c r="EF51">
        <v>356400</v>
      </c>
      <c r="EG51">
        <v>355400</v>
      </c>
      <c r="EH51">
        <v>353700</v>
      </c>
      <c r="EI51">
        <v>353000</v>
      </c>
      <c r="EJ51">
        <v>353700</v>
      </c>
      <c r="EK51">
        <v>354300</v>
      </c>
      <c r="EL51">
        <v>353400</v>
      </c>
      <c r="EM51">
        <v>351800</v>
      </c>
      <c r="EN51">
        <v>351400</v>
      </c>
      <c r="EO51">
        <v>351900</v>
      </c>
      <c r="EP51">
        <v>352200</v>
      </c>
      <c r="EQ51">
        <v>352600</v>
      </c>
      <c r="ER51">
        <v>353900</v>
      </c>
      <c r="ES51">
        <v>356200</v>
      </c>
      <c r="ET51">
        <v>359000</v>
      </c>
      <c r="EU51">
        <v>361600</v>
      </c>
      <c r="EV51">
        <v>363600</v>
      </c>
      <c r="EW51">
        <v>365900</v>
      </c>
      <c r="EX51">
        <v>369300</v>
      </c>
      <c r="EY51">
        <v>373200</v>
      </c>
      <c r="EZ51">
        <v>376800</v>
      </c>
      <c r="FA51">
        <v>379900</v>
      </c>
      <c r="FB51">
        <v>382800</v>
      </c>
      <c r="FC51">
        <v>384800</v>
      </c>
      <c r="FD51">
        <v>386700</v>
      </c>
      <c r="FE51">
        <v>388700</v>
      </c>
      <c r="FF51">
        <v>391900</v>
      </c>
      <c r="FG51">
        <v>396800</v>
      </c>
      <c r="FH51">
        <v>402200</v>
      </c>
      <c r="FI51">
        <v>406200</v>
      </c>
      <c r="FJ51">
        <v>410800</v>
      </c>
      <c r="FK51">
        <v>415900</v>
      </c>
      <c r="FL51">
        <v>419900</v>
      </c>
      <c r="FM51">
        <v>422600</v>
      </c>
      <c r="FN51">
        <v>425800</v>
      </c>
      <c r="FO51">
        <v>428900</v>
      </c>
      <c r="FP51">
        <v>431600</v>
      </c>
      <c r="FQ51">
        <v>434500</v>
      </c>
      <c r="FR51">
        <v>437700</v>
      </c>
      <c r="FS51">
        <v>439800</v>
      </c>
      <c r="FT51">
        <v>441500</v>
      </c>
      <c r="FU51">
        <v>443400</v>
      </c>
      <c r="FV51">
        <v>445000</v>
      </c>
      <c r="FW51">
        <v>446200</v>
      </c>
      <c r="FX51">
        <v>447400</v>
      </c>
      <c r="FY51">
        <v>448900</v>
      </c>
      <c r="FZ51">
        <v>450600</v>
      </c>
      <c r="GA51">
        <v>452600</v>
      </c>
      <c r="GB51">
        <v>454800</v>
      </c>
      <c r="GC51">
        <v>458100</v>
      </c>
      <c r="GD51">
        <v>461100</v>
      </c>
      <c r="GE51">
        <v>463500</v>
      </c>
      <c r="GF51">
        <v>466000</v>
      </c>
      <c r="GG51">
        <v>469000</v>
      </c>
      <c r="GH51">
        <v>471200</v>
      </c>
      <c r="GI51">
        <v>473300</v>
      </c>
      <c r="GJ51">
        <v>476300</v>
      </c>
      <c r="GK51">
        <v>479500</v>
      </c>
      <c r="GL51">
        <v>481400</v>
      </c>
      <c r="GM51">
        <v>482900</v>
      </c>
      <c r="GN51">
        <v>484100</v>
      </c>
      <c r="GO51">
        <v>485200</v>
      </c>
      <c r="GP51">
        <v>488000</v>
      </c>
      <c r="GQ51">
        <v>492600</v>
      </c>
      <c r="GR51">
        <v>497300</v>
      </c>
      <c r="GS51">
        <v>501800</v>
      </c>
      <c r="GT51">
        <v>505700</v>
      </c>
      <c r="GU51">
        <v>508700</v>
      </c>
      <c r="GV51">
        <v>510800</v>
      </c>
      <c r="GW51">
        <v>514500</v>
      </c>
      <c r="GX51">
        <v>521000</v>
      </c>
      <c r="GY51">
        <v>528300</v>
      </c>
      <c r="GZ51">
        <v>533000</v>
      </c>
      <c r="HA51">
        <v>535200</v>
      </c>
      <c r="HB51">
        <v>536000</v>
      </c>
      <c r="HC51">
        <v>537400</v>
      </c>
      <c r="HD51">
        <v>538800</v>
      </c>
      <c r="HE51">
        <v>540400</v>
      </c>
      <c r="HF51">
        <v>542800</v>
      </c>
      <c r="HG51">
        <v>545600</v>
      </c>
      <c r="HH51">
        <v>547400</v>
      </c>
      <c r="HI51">
        <v>548000</v>
      </c>
      <c r="HJ51">
        <v>548300</v>
      </c>
      <c r="HK51">
        <v>548500</v>
      </c>
      <c r="HL51">
        <v>551900</v>
      </c>
      <c r="HM51">
        <v>558800</v>
      </c>
      <c r="HN51">
        <v>564000</v>
      </c>
      <c r="HO51">
        <v>564000</v>
      </c>
      <c r="HP51">
        <v>564200</v>
      </c>
      <c r="HQ51">
        <v>566100</v>
      </c>
      <c r="HR51">
        <v>568600</v>
      </c>
      <c r="HS51">
        <v>570500</v>
      </c>
      <c r="HT51">
        <v>572100</v>
      </c>
    </row>
    <row r="52" spans="1:228" x14ac:dyDescent="0.3">
      <c r="A52">
        <v>62</v>
      </c>
      <c r="B52" t="s">
        <v>278</v>
      </c>
      <c r="C52">
        <v>51</v>
      </c>
      <c r="D52">
        <v>134300</v>
      </c>
      <c r="E52">
        <v>134800</v>
      </c>
      <c r="F52">
        <v>135200</v>
      </c>
      <c r="G52">
        <v>135600</v>
      </c>
      <c r="H52">
        <v>136100</v>
      </c>
      <c r="I52">
        <v>136700</v>
      </c>
      <c r="J52">
        <v>137300</v>
      </c>
      <c r="K52">
        <v>138000</v>
      </c>
      <c r="L52">
        <v>138700</v>
      </c>
      <c r="M52">
        <v>139500</v>
      </c>
      <c r="N52">
        <v>140300</v>
      </c>
      <c r="O52">
        <v>141200</v>
      </c>
      <c r="P52">
        <v>142200</v>
      </c>
      <c r="Q52">
        <v>143400</v>
      </c>
      <c r="R52">
        <v>144700</v>
      </c>
      <c r="S52">
        <v>146100</v>
      </c>
      <c r="T52">
        <v>147400</v>
      </c>
      <c r="U52">
        <v>148500</v>
      </c>
      <c r="V52">
        <v>149300</v>
      </c>
      <c r="W52">
        <v>150000</v>
      </c>
      <c r="X52">
        <v>150400</v>
      </c>
      <c r="Y52">
        <v>150700</v>
      </c>
      <c r="Z52">
        <v>151000</v>
      </c>
      <c r="AA52">
        <v>151300</v>
      </c>
      <c r="AB52">
        <v>151700</v>
      </c>
      <c r="AC52">
        <v>152200</v>
      </c>
      <c r="AD52">
        <v>152600</v>
      </c>
      <c r="AE52">
        <v>152800</v>
      </c>
      <c r="AF52">
        <v>152900</v>
      </c>
      <c r="AG52">
        <v>152700</v>
      </c>
      <c r="AH52">
        <v>152500</v>
      </c>
      <c r="AI52">
        <v>152200</v>
      </c>
      <c r="AJ52">
        <v>152000</v>
      </c>
      <c r="AK52">
        <v>152000</v>
      </c>
      <c r="AL52">
        <v>152100</v>
      </c>
      <c r="AM52">
        <v>152300</v>
      </c>
      <c r="AN52">
        <v>152700</v>
      </c>
      <c r="AO52">
        <v>153100</v>
      </c>
      <c r="AP52">
        <v>153500</v>
      </c>
      <c r="AQ52">
        <v>153900</v>
      </c>
      <c r="AR52">
        <v>154300</v>
      </c>
      <c r="AS52">
        <v>155000</v>
      </c>
      <c r="AT52">
        <v>155900</v>
      </c>
      <c r="AU52">
        <v>157000</v>
      </c>
      <c r="AV52">
        <v>158500</v>
      </c>
      <c r="AW52">
        <v>160100</v>
      </c>
      <c r="AX52">
        <v>161800</v>
      </c>
      <c r="AY52">
        <v>163600</v>
      </c>
      <c r="AZ52">
        <v>165400</v>
      </c>
      <c r="BA52">
        <v>167400</v>
      </c>
      <c r="BB52">
        <v>169600</v>
      </c>
      <c r="BC52">
        <v>171900</v>
      </c>
      <c r="BD52">
        <v>174000</v>
      </c>
      <c r="BE52">
        <v>175900</v>
      </c>
      <c r="BF52">
        <v>177300</v>
      </c>
      <c r="BG52">
        <v>178300</v>
      </c>
      <c r="BH52">
        <v>178600</v>
      </c>
      <c r="BI52">
        <v>178500</v>
      </c>
      <c r="BJ52">
        <v>177900</v>
      </c>
      <c r="BK52">
        <v>176600</v>
      </c>
      <c r="BL52">
        <v>174400</v>
      </c>
      <c r="BM52">
        <v>171300</v>
      </c>
      <c r="BN52">
        <v>167400</v>
      </c>
      <c r="BO52">
        <v>163600</v>
      </c>
      <c r="BP52">
        <v>160400</v>
      </c>
      <c r="BQ52">
        <v>158100</v>
      </c>
      <c r="BR52">
        <v>156600</v>
      </c>
      <c r="BS52">
        <v>155800</v>
      </c>
      <c r="BT52">
        <v>155500</v>
      </c>
      <c r="BU52">
        <v>155500</v>
      </c>
      <c r="BV52">
        <v>155700</v>
      </c>
      <c r="BW52">
        <v>156200</v>
      </c>
      <c r="BX52">
        <v>157000</v>
      </c>
      <c r="BY52">
        <v>158100</v>
      </c>
      <c r="BZ52">
        <v>159600</v>
      </c>
      <c r="CA52">
        <v>161200</v>
      </c>
      <c r="CB52">
        <v>162900</v>
      </c>
      <c r="CC52">
        <v>164500</v>
      </c>
      <c r="CD52">
        <v>166000</v>
      </c>
      <c r="CE52">
        <v>167500</v>
      </c>
      <c r="CF52">
        <v>169100</v>
      </c>
      <c r="CG52">
        <v>170500</v>
      </c>
      <c r="CH52">
        <v>171800</v>
      </c>
      <c r="CI52">
        <v>173100</v>
      </c>
      <c r="CJ52">
        <v>174300</v>
      </c>
      <c r="CK52">
        <v>175500</v>
      </c>
      <c r="CL52">
        <v>176700</v>
      </c>
      <c r="CM52">
        <v>178000</v>
      </c>
      <c r="CN52">
        <v>179100</v>
      </c>
      <c r="CO52">
        <v>180100</v>
      </c>
      <c r="CP52">
        <v>181000</v>
      </c>
      <c r="CQ52">
        <v>181600</v>
      </c>
      <c r="CR52">
        <v>182100</v>
      </c>
      <c r="CS52">
        <v>182500</v>
      </c>
      <c r="CT52">
        <v>182900</v>
      </c>
      <c r="CU52">
        <v>183300</v>
      </c>
      <c r="CV52">
        <v>183800</v>
      </c>
      <c r="CW52">
        <v>184300</v>
      </c>
      <c r="CX52">
        <v>184900</v>
      </c>
      <c r="CY52">
        <v>185100</v>
      </c>
      <c r="CZ52">
        <v>185100</v>
      </c>
      <c r="DA52">
        <v>184900</v>
      </c>
      <c r="DB52">
        <v>184600</v>
      </c>
      <c r="DC52">
        <v>184200</v>
      </c>
      <c r="DD52">
        <v>183700</v>
      </c>
      <c r="DE52">
        <v>183300</v>
      </c>
      <c r="DF52">
        <v>183100</v>
      </c>
      <c r="DG52">
        <v>182900</v>
      </c>
      <c r="DH52">
        <v>182800</v>
      </c>
      <c r="DI52">
        <v>182800</v>
      </c>
      <c r="DJ52">
        <v>182900</v>
      </c>
      <c r="DK52">
        <v>182800</v>
      </c>
      <c r="DL52">
        <v>182500</v>
      </c>
      <c r="DM52">
        <v>182200</v>
      </c>
      <c r="DN52">
        <v>181900</v>
      </c>
      <c r="DO52">
        <v>181700</v>
      </c>
      <c r="DP52">
        <v>181400</v>
      </c>
      <c r="DQ52">
        <v>181200</v>
      </c>
      <c r="DR52">
        <v>180900</v>
      </c>
      <c r="DS52">
        <v>180900</v>
      </c>
      <c r="DT52">
        <v>180900</v>
      </c>
      <c r="DU52">
        <v>181000</v>
      </c>
      <c r="DV52">
        <v>181100</v>
      </c>
      <c r="DW52">
        <v>181400</v>
      </c>
      <c r="DX52">
        <v>182100</v>
      </c>
      <c r="DY52">
        <v>182400</v>
      </c>
      <c r="DZ52">
        <v>182500</v>
      </c>
      <c r="EA52">
        <v>182700</v>
      </c>
      <c r="EB52">
        <v>182800</v>
      </c>
      <c r="EC52">
        <v>182600</v>
      </c>
      <c r="ED52">
        <v>182300</v>
      </c>
      <c r="EE52">
        <v>181700</v>
      </c>
      <c r="EF52">
        <v>181200</v>
      </c>
      <c r="EG52">
        <v>180900</v>
      </c>
      <c r="EH52">
        <v>180600</v>
      </c>
      <c r="EI52">
        <v>180500</v>
      </c>
      <c r="EJ52">
        <v>181000</v>
      </c>
      <c r="EK52">
        <v>181500</v>
      </c>
      <c r="EL52">
        <v>181800</v>
      </c>
      <c r="EM52">
        <v>181800</v>
      </c>
      <c r="EN52">
        <v>181700</v>
      </c>
      <c r="EO52">
        <v>181700</v>
      </c>
      <c r="EP52">
        <v>181800</v>
      </c>
      <c r="EQ52">
        <v>181900</v>
      </c>
      <c r="ER52">
        <v>182000</v>
      </c>
      <c r="ES52">
        <v>182100</v>
      </c>
      <c r="ET52">
        <v>182300</v>
      </c>
      <c r="EU52">
        <v>182600</v>
      </c>
      <c r="EV52">
        <v>182800</v>
      </c>
      <c r="EW52">
        <v>182900</v>
      </c>
      <c r="EX52">
        <v>183300</v>
      </c>
      <c r="EY52">
        <v>183700</v>
      </c>
      <c r="EZ52">
        <v>184400</v>
      </c>
      <c r="FA52">
        <v>185200</v>
      </c>
      <c r="FB52">
        <v>185800</v>
      </c>
      <c r="FC52">
        <v>186400</v>
      </c>
      <c r="FD52">
        <v>186900</v>
      </c>
      <c r="FE52">
        <v>187200</v>
      </c>
      <c r="FF52">
        <v>187700</v>
      </c>
      <c r="FG52">
        <v>188200</v>
      </c>
      <c r="FH52">
        <v>188300</v>
      </c>
      <c r="FI52">
        <v>188200</v>
      </c>
      <c r="FJ52">
        <v>188400</v>
      </c>
      <c r="FK52">
        <v>188600</v>
      </c>
      <c r="FL52">
        <v>188800</v>
      </c>
      <c r="FM52">
        <v>188900</v>
      </c>
      <c r="FN52">
        <v>189300</v>
      </c>
      <c r="FO52">
        <v>190100</v>
      </c>
      <c r="FP52">
        <v>190800</v>
      </c>
      <c r="FQ52">
        <v>191300</v>
      </c>
      <c r="FR52">
        <v>191500</v>
      </c>
      <c r="FS52">
        <v>191400</v>
      </c>
      <c r="FT52">
        <v>191000</v>
      </c>
      <c r="FU52">
        <v>190900</v>
      </c>
      <c r="FV52">
        <v>191100</v>
      </c>
      <c r="FW52">
        <v>191800</v>
      </c>
      <c r="FX52">
        <v>192600</v>
      </c>
      <c r="FY52">
        <v>193500</v>
      </c>
      <c r="FZ52">
        <v>194200</v>
      </c>
      <c r="GA52">
        <v>195100</v>
      </c>
      <c r="GB52">
        <v>196100</v>
      </c>
      <c r="GC52">
        <v>197100</v>
      </c>
      <c r="GD52">
        <v>197700</v>
      </c>
      <c r="GE52">
        <v>198500</v>
      </c>
      <c r="GF52">
        <v>199400</v>
      </c>
      <c r="GG52">
        <v>200500</v>
      </c>
      <c r="GH52">
        <v>201500</v>
      </c>
      <c r="GI52">
        <v>202200</v>
      </c>
      <c r="GJ52">
        <v>202700</v>
      </c>
      <c r="GK52">
        <v>203300</v>
      </c>
      <c r="GL52">
        <v>203900</v>
      </c>
      <c r="GM52">
        <v>204400</v>
      </c>
      <c r="GN52">
        <v>204700</v>
      </c>
      <c r="GO52">
        <v>205100</v>
      </c>
      <c r="GP52">
        <v>205800</v>
      </c>
      <c r="GQ52">
        <v>206400</v>
      </c>
      <c r="GR52">
        <v>207100</v>
      </c>
      <c r="GS52">
        <v>207700</v>
      </c>
      <c r="GT52">
        <v>208200</v>
      </c>
      <c r="GU52">
        <v>208500</v>
      </c>
      <c r="GV52">
        <v>208900</v>
      </c>
      <c r="GW52">
        <v>209200</v>
      </c>
      <c r="GX52">
        <v>209500</v>
      </c>
      <c r="GY52">
        <v>209400</v>
      </c>
      <c r="GZ52">
        <v>209200</v>
      </c>
      <c r="HA52">
        <v>209100</v>
      </c>
      <c r="HB52">
        <v>209400</v>
      </c>
      <c r="HC52">
        <v>209700</v>
      </c>
      <c r="HD52">
        <v>209600</v>
      </c>
      <c r="HE52">
        <v>209200</v>
      </c>
      <c r="HF52">
        <v>209200</v>
      </c>
      <c r="HG52">
        <v>209600</v>
      </c>
      <c r="HH52">
        <v>210200</v>
      </c>
      <c r="HI52">
        <v>210900</v>
      </c>
      <c r="HJ52">
        <v>211800</v>
      </c>
      <c r="HK52">
        <v>213000</v>
      </c>
      <c r="HL52">
        <v>214100</v>
      </c>
      <c r="HM52">
        <v>215100</v>
      </c>
      <c r="HN52">
        <v>215700</v>
      </c>
      <c r="HO52">
        <v>216700</v>
      </c>
      <c r="HP52">
        <v>218300</v>
      </c>
      <c r="HQ52">
        <v>219900</v>
      </c>
      <c r="HR52">
        <v>220900</v>
      </c>
      <c r="HS52">
        <v>221100</v>
      </c>
      <c r="HT52">
        <v>220800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52"/>
  <sheetViews>
    <sheetView workbookViewId="0">
      <selection activeCell="B2" sqref="B2:R52"/>
    </sheetView>
  </sheetViews>
  <sheetFormatPr defaultRowHeight="14.4" x14ac:dyDescent="0.3"/>
  <sheetData>
    <row r="1" spans="1:18" x14ac:dyDescent="0.3">
      <c r="A1" t="s">
        <v>1</v>
      </c>
      <c r="B1">
        <v>200112</v>
      </c>
      <c r="C1">
        <v>200212</v>
      </c>
      <c r="D1">
        <v>200312</v>
      </c>
      <c r="E1">
        <v>200412</v>
      </c>
      <c r="F1">
        <v>200512</v>
      </c>
      <c r="G1">
        <v>200612</v>
      </c>
      <c r="H1">
        <v>200712</v>
      </c>
      <c r="I1">
        <v>200812</v>
      </c>
      <c r="J1">
        <v>200912</v>
      </c>
      <c r="K1">
        <v>201012</v>
      </c>
      <c r="L1">
        <v>201112</v>
      </c>
      <c r="M1">
        <v>201212</v>
      </c>
      <c r="N1">
        <v>201312</v>
      </c>
      <c r="O1">
        <v>201412</v>
      </c>
      <c r="P1">
        <v>201512</v>
      </c>
      <c r="Q1">
        <v>201612</v>
      </c>
      <c r="R1">
        <v>201712</v>
      </c>
    </row>
    <row r="2" spans="1:18" x14ac:dyDescent="0.3">
      <c r="A2" t="s">
        <v>250</v>
      </c>
      <c r="B2">
        <f>IFERROR(ROUND(HLOOKUP(LEFT(B$1,4)&amp;"-"&amp;RIGHT(B$1,2),DATA!$D$1:$HT$52,MATCH($A2,DATA!$B:$B,0),FALSE)/HLOOKUP(LEFT(B$1,4)*1-1&amp;"-"&amp;RIGHT(B$1,2),DATA!$D$1:$HT$52,MATCH($A2,DATA!$B:$B,0),FALSE)-1,3),0)</f>
        <v>4.2000000000000003E-2</v>
      </c>
      <c r="C2">
        <f>IFERROR(ROUND(HLOOKUP(LEFT(C$1,4)&amp;"-"&amp;RIGHT(C$1,2),DATA!$D$1:$HT$52,MATCH($A2,DATA!$B:$B,0),FALSE)/HLOOKUP(LEFT(C$1,4)*1-1&amp;"-"&amp;RIGHT(C$1,2),DATA!$D$1:$HT$52,MATCH($A2,DATA!$B:$B,0),FALSE)-1,3),0)</f>
        <v>3.3000000000000002E-2</v>
      </c>
      <c r="D2">
        <f>IFERROR(ROUND(HLOOKUP(LEFT(D$1,4)&amp;"-"&amp;RIGHT(D$1,2),DATA!$D$1:$HT$52,MATCH($A2,DATA!$B:$B,0),FALSE)/HLOOKUP(LEFT(D$1,4)*1-1&amp;"-"&amp;RIGHT(D$1,2),DATA!$D$1:$HT$52,MATCH($A2,DATA!$B:$B,0),FALSE)-1,3),0)</f>
        <v>4.2000000000000003E-2</v>
      </c>
      <c r="E2">
        <f>IFERROR(ROUND(HLOOKUP(LEFT(E$1,4)&amp;"-"&amp;RIGHT(E$1,2),DATA!$D$1:$HT$52,MATCH($A2,DATA!$B:$B,0),FALSE)/HLOOKUP(LEFT(E$1,4)*1-1&amp;"-"&amp;RIGHT(E$1,2),DATA!$D$1:$HT$52,MATCH($A2,DATA!$B:$B,0),FALSE)-1,3),0)</f>
        <v>5.1999999999999998E-2</v>
      </c>
      <c r="F2">
        <f>IFERROR(ROUND(HLOOKUP(LEFT(F$1,4)&amp;"-"&amp;RIGHT(F$1,2),DATA!$D$1:$HT$52,MATCH($A2,DATA!$B:$B,0),FALSE)/HLOOKUP(LEFT(F$1,4)*1-1&amp;"-"&amp;RIGHT(F$1,2),DATA!$D$1:$HT$52,MATCH($A2,DATA!$B:$B,0),FALSE)-1,3),0)</f>
        <v>-5.2999999999999999E-2</v>
      </c>
      <c r="G2">
        <f>IFERROR(ROUND(HLOOKUP(LEFT(G$1,4)&amp;"-"&amp;RIGHT(G$1,2),DATA!$D$1:$HT$52,MATCH($A2,DATA!$B:$B,0),FALSE)/HLOOKUP(LEFT(G$1,4)*1-1&amp;"-"&amp;RIGHT(G$1,2),DATA!$D$1:$HT$52,MATCH($A2,DATA!$B:$B,0),FALSE)-1,3),0)</f>
        <v>0.13700000000000001</v>
      </c>
      <c r="H2">
        <f>IFERROR(ROUND(HLOOKUP(LEFT(H$1,4)&amp;"-"&amp;RIGHT(H$1,2),DATA!$D$1:$HT$52,MATCH($A2,DATA!$B:$B,0),FALSE)/HLOOKUP(LEFT(H$1,4)*1-1&amp;"-"&amp;RIGHT(H$1,2),DATA!$D$1:$HT$52,MATCH($A2,DATA!$B:$B,0),FALSE)-1,3),0)</f>
        <v>2E-3</v>
      </c>
      <c r="I2">
        <f>IFERROR(ROUND(HLOOKUP(LEFT(I$1,4)&amp;"-"&amp;RIGHT(I$1,2),DATA!$D$1:$HT$52,MATCH($A2,DATA!$B:$B,0),FALSE)/HLOOKUP(LEFT(I$1,4)*1-1&amp;"-"&amp;RIGHT(I$1,2),DATA!$D$1:$HT$52,MATCH($A2,DATA!$B:$B,0),FALSE)-1,3),0)</f>
        <v>-0.03</v>
      </c>
      <c r="J2">
        <f>IFERROR(ROUND(HLOOKUP(LEFT(J$1,4)&amp;"-"&amp;RIGHT(J$1,2),DATA!$D$1:$HT$52,MATCH($A2,DATA!$B:$B,0),FALSE)/HLOOKUP(LEFT(J$1,4)*1-1&amp;"-"&amp;RIGHT(J$1,2),DATA!$D$1:$HT$52,MATCH($A2,DATA!$B:$B,0),FALSE)-1,3),0)</f>
        <v>-4.7E-2</v>
      </c>
      <c r="K2">
        <f>IFERROR(ROUND(HLOOKUP(LEFT(K$1,4)&amp;"-"&amp;RIGHT(K$1,2),DATA!$D$1:$HT$52,MATCH($A2,DATA!$B:$B,0),FALSE)/HLOOKUP(LEFT(K$1,4)*1-1&amp;"-"&amp;RIGHT(K$1,2),DATA!$D$1:$HT$52,MATCH($A2,DATA!$B:$B,0),FALSE)-1,3),0)</f>
        <v>-4.2000000000000003E-2</v>
      </c>
      <c r="L2">
        <f>IFERROR(ROUND(HLOOKUP(LEFT(L$1,4)&amp;"-"&amp;RIGHT(L$1,2),DATA!$D$1:$HT$52,MATCH($A2,DATA!$B:$B,0),FALSE)/HLOOKUP(LEFT(L$1,4)*1-1&amp;"-"&amp;RIGHT(L$1,2),DATA!$D$1:$HT$52,MATCH($A2,DATA!$B:$B,0),FALSE)-1,3),0)</f>
        <v>-4.1000000000000002E-2</v>
      </c>
      <c r="M2">
        <f>IFERROR(ROUND(HLOOKUP(LEFT(M$1,4)&amp;"-"&amp;RIGHT(M$1,2),DATA!$D$1:$HT$52,MATCH($A2,DATA!$B:$B,0),FALSE)/HLOOKUP(LEFT(M$1,4)*1-1&amp;"-"&amp;RIGHT(M$1,2),DATA!$D$1:$HT$52,MATCH($A2,DATA!$B:$B,0),FALSE)-1,3),0)</f>
        <v>6.3E-2</v>
      </c>
      <c r="N2">
        <f>IFERROR(ROUND(HLOOKUP(LEFT(N$1,4)&amp;"-"&amp;RIGHT(N$1,2),DATA!$D$1:$HT$52,MATCH($A2,DATA!$B:$B,0),FALSE)/HLOOKUP(LEFT(N$1,4)*1-1&amp;"-"&amp;RIGHT(N$1,2),DATA!$D$1:$HT$52,MATCH($A2,DATA!$B:$B,0),FALSE)-1,3),0)</f>
        <v>8.1000000000000003E-2</v>
      </c>
      <c r="O2">
        <f>IFERROR(ROUND(HLOOKUP(LEFT(O$1,4)&amp;"-"&amp;RIGHT(O$1,2),DATA!$D$1:$HT$52,MATCH($A2,DATA!$B:$B,0),FALSE)/HLOOKUP(LEFT(O$1,4)*1-1&amp;"-"&amp;RIGHT(O$1,2),DATA!$D$1:$HT$52,MATCH($A2,DATA!$B:$B,0),FALSE)-1,3),0)</f>
        <v>0.03</v>
      </c>
      <c r="P2">
        <f>IFERROR(ROUND(HLOOKUP(LEFT(P$1,4)&amp;"-"&amp;RIGHT(P$1,2),DATA!$D$1:$HT$52,MATCH($A2,DATA!$B:$B,0),FALSE)/HLOOKUP(LEFT(P$1,4)*1-1&amp;"-"&amp;RIGHT(P$1,2),DATA!$D$1:$HT$52,MATCH($A2,DATA!$B:$B,0),FALSE)-1,3),0)</f>
        <v>1.9E-2</v>
      </c>
      <c r="Q2">
        <f>IFERROR(ROUND(HLOOKUP(LEFT(Q$1,4)&amp;"-"&amp;RIGHT(Q$1,2),DATA!$D$1:$HT$52,MATCH($A2,DATA!$B:$B,0),FALSE)/HLOOKUP(LEFT(Q$1,4)*1-1&amp;"-"&amp;RIGHT(Q$1,2),DATA!$D$1:$HT$52,MATCH($A2,DATA!$B:$B,0),FALSE)-1,3),0)</f>
        <v>3.1E-2</v>
      </c>
      <c r="R2">
        <f>IFERROR(ROUND(HLOOKUP(LEFT(R$1,4)&amp;"-"&amp;RIGHT(R$1,2),DATA!$D$1:$HT$52,MATCH($A2,DATA!$B:$B,0),FALSE)/HLOOKUP(LEFT(R$1,4)*1-1&amp;"-"&amp;RIGHT(R$1,2),DATA!$D$1:$HT$52,MATCH($A2,DATA!$B:$B,0),FALSE)-1,3),0)</f>
        <v>2.5000000000000001E-2</v>
      </c>
    </row>
    <row r="3" spans="1:18" x14ac:dyDescent="0.3">
      <c r="A3" t="s">
        <v>274</v>
      </c>
      <c r="B3">
        <f>IFERROR(ROUND(HLOOKUP(LEFT(B$1,4)&amp;"-"&amp;RIGHT(B$1,2),DATA!$D$1:$HT$52,MATCH($A3,DATA!$B:$B,0),FALSE)/HLOOKUP(LEFT(B$1,4)*1-1&amp;"-"&amp;RIGHT(B$1,2),DATA!$D$1:$HT$52,MATCH($A3,DATA!$B:$B,0),FALSE)-1,3),0)</f>
        <v>0.183</v>
      </c>
      <c r="C3">
        <f>IFERROR(ROUND(HLOOKUP(LEFT(C$1,4)&amp;"-"&amp;RIGHT(C$1,2),DATA!$D$1:$HT$52,MATCH($A3,DATA!$B:$B,0),FALSE)/HLOOKUP(LEFT(C$1,4)*1-1&amp;"-"&amp;RIGHT(C$1,2),DATA!$D$1:$HT$52,MATCH($A3,DATA!$B:$B,0),FALSE)-1,3),0)</f>
        <v>4.1000000000000002E-2</v>
      </c>
      <c r="D3">
        <f>IFERROR(ROUND(HLOOKUP(LEFT(D$1,4)&amp;"-"&amp;RIGHT(D$1,2),DATA!$D$1:$HT$52,MATCH($A3,DATA!$B:$B,0),FALSE)/HLOOKUP(LEFT(D$1,4)*1-1&amp;"-"&amp;RIGHT(D$1,2),DATA!$D$1:$HT$52,MATCH($A3,DATA!$B:$B,0),FALSE)-1,3),0)</f>
        <v>7.2999999999999995E-2</v>
      </c>
      <c r="E3">
        <f>IFERROR(ROUND(HLOOKUP(LEFT(E$1,4)&amp;"-"&amp;RIGHT(E$1,2),DATA!$D$1:$HT$52,MATCH($A3,DATA!$B:$B,0),FALSE)/HLOOKUP(LEFT(E$1,4)*1-1&amp;"-"&amp;RIGHT(E$1,2),DATA!$D$1:$HT$52,MATCH($A3,DATA!$B:$B,0),FALSE)-1,3),0)</f>
        <v>7.9000000000000001E-2</v>
      </c>
      <c r="F3">
        <f>IFERROR(ROUND(HLOOKUP(LEFT(F$1,4)&amp;"-"&amp;RIGHT(F$1,2),DATA!$D$1:$HT$52,MATCH($A3,DATA!$B:$B,0),FALSE)/HLOOKUP(LEFT(F$1,4)*1-1&amp;"-"&amp;RIGHT(F$1,2),DATA!$D$1:$HT$52,MATCH($A3,DATA!$B:$B,0),FALSE)-1,3),0)</f>
        <v>0.111</v>
      </c>
      <c r="G3">
        <f>IFERROR(ROUND(HLOOKUP(LEFT(G$1,4)&amp;"-"&amp;RIGHT(G$1,2),DATA!$D$1:$HT$52,MATCH($A3,DATA!$B:$B,0),FALSE)/HLOOKUP(LEFT(G$1,4)*1-1&amp;"-"&amp;RIGHT(G$1,2),DATA!$D$1:$HT$52,MATCH($A3,DATA!$B:$B,0),FALSE)-1,3),0)</f>
        <v>7.8E-2</v>
      </c>
      <c r="H3">
        <f>IFERROR(ROUND(HLOOKUP(LEFT(H$1,4)&amp;"-"&amp;RIGHT(H$1,2),DATA!$D$1:$HT$52,MATCH($A3,DATA!$B:$B,0),FALSE)/HLOOKUP(LEFT(H$1,4)*1-1&amp;"-"&amp;RIGHT(H$1,2),DATA!$D$1:$HT$52,MATCH($A3,DATA!$B:$B,0),FALSE)-1,3),0)</f>
        <v>2.9000000000000001E-2</v>
      </c>
      <c r="I3">
        <f>IFERROR(ROUND(HLOOKUP(LEFT(I$1,4)&amp;"-"&amp;RIGHT(I$1,2),DATA!$D$1:$HT$52,MATCH($A3,DATA!$B:$B,0),FALSE)/HLOOKUP(LEFT(I$1,4)*1-1&amp;"-"&amp;RIGHT(I$1,2),DATA!$D$1:$HT$52,MATCH($A3,DATA!$B:$B,0),FALSE)-1,3),0)</f>
        <v>3.0000000000000001E-3</v>
      </c>
      <c r="J3">
        <f>IFERROR(ROUND(HLOOKUP(LEFT(J$1,4)&amp;"-"&amp;RIGHT(J$1,2),DATA!$D$1:$HT$52,MATCH($A3,DATA!$B:$B,0),FALSE)/HLOOKUP(LEFT(J$1,4)*1-1&amp;"-"&amp;RIGHT(J$1,2),DATA!$D$1:$HT$52,MATCH($A3,DATA!$B:$B,0),FALSE)-1,3),0)</f>
        <v>8.0000000000000002E-3</v>
      </c>
      <c r="K3">
        <f>IFERROR(ROUND(HLOOKUP(LEFT(K$1,4)&amp;"-"&amp;RIGHT(K$1,2),DATA!$D$1:$HT$52,MATCH($A3,DATA!$B:$B,0),FALSE)/HLOOKUP(LEFT(K$1,4)*1-1&amp;"-"&amp;RIGHT(K$1,2),DATA!$D$1:$HT$52,MATCH($A3,DATA!$B:$B,0),FALSE)-1,3),0)</f>
        <v>8.9999999999999993E-3</v>
      </c>
      <c r="L3">
        <f>IFERROR(ROUND(HLOOKUP(LEFT(L$1,4)&amp;"-"&amp;RIGHT(L$1,2),DATA!$D$1:$HT$52,MATCH($A3,DATA!$B:$B,0),FALSE)/HLOOKUP(LEFT(L$1,4)*1-1&amp;"-"&amp;RIGHT(L$1,2),DATA!$D$1:$HT$52,MATCH($A3,DATA!$B:$B,0),FALSE)-1,3),0)</f>
        <v>-4.0000000000000001E-3</v>
      </c>
      <c r="M3">
        <f>IFERROR(ROUND(HLOOKUP(LEFT(M$1,4)&amp;"-"&amp;RIGHT(M$1,2),DATA!$D$1:$HT$52,MATCH($A3,DATA!$B:$B,0),FALSE)/HLOOKUP(LEFT(M$1,4)*1-1&amp;"-"&amp;RIGHT(M$1,2),DATA!$D$1:$HT$52,MATCH($A3,DATA!$B:$B,0),FALSE)-1,3),0)</f>
        <v>4.0000000000000001E-3</v>
      </c>
      <c r="N3">
        <f>IFERROR(ROUND(HLOOKUP(LEFT(N$1,4)&amp;"-"&amp;RIGHT(N$1,2),DATA!$D$1:$HT$52,MATCH($A3,DATA!$B:$B,0),FALSE)/HLOOKUP(LEFT(N$1,4)*1-1&amp;"-"&amp;RIGHT(N$1,2),DATA!$D$1:$HT$52,MATCH($A3,DATA!$B:$B,0),FALSE)-1,3),0)</f>
        <v>2.1999999999999999E-2</v>
      </c>
      <c r="O3">
        <f>IFERROR(ROUND(HLOOKUP(LEFT(O$1,4)&amp;"-"&amp;RIGHT(O$1,2),DATA!$D$1:$HT$52,MATCH($A3,DATA!$B:$B,0),FALSE)/HLOOKUP(LEFT(O$1,4)*1-1&amp;"-"&amp;RIGHT(O$1,2),DATA!$D$1:$HT$52,MATCH($A3,DATA!$B:$B,0),FALSE)-1,3),0)</f>
        <v>3.5000000000000003E-2</v>
      </c>
      <c r="P3">
        <f>IFERROR(ROUND(HLOOKUP(LEFT(P$1,4)&amp;"-"&amp;RIGHT(P$1,2),DATA!$D$1:$HT$52,MATCH($A3,DATA!$B:$B,0),FALSE)/HLOOKUP(LEFT(P$1,4)*1-1&amp;"-"&amp;RIGHT(P$1,2),DATA!$D$1:$HT$52,MATCH($A3,DATA!$B:$B,0),FALSE)-1,3),0)</f>
        <v>1.7999999999999999E-2</v>
      </c>
      <c r="Q3">
        <f>IFERROR(ROUND(HLOOKUP(LEFT(Q$1,4)&amp;"-"&amp;RIGHT(Q$1,2),DATA!$D$1:$HT$52,MATCH($A3,DATA!$B:$B,0),FALSE)/HLOOKUP(LEFT(Q$1,4)*1-1&amp;"-"&amp;RIGHT(Q$1,2),DATA!$D$1:$HT$52,MATCH($A3,DATA!$B:$B,0),FALSE)-1,3),0)</f>
        <v>1.2999999999999999E-2</v>
      </c>
      <c r="R3">
        <f>IFERROR(ROUND(HLOOKUP(LEFT(R$1,4)&amp;"-"&amp;RIGHT(R$1,2),DATA!$D$1:$HT$52,MATCH($A3,DATA!$B:$B,0),FALSE)/HLOOKUP(LEFT(R$1,4)*1-1&amp;"-"&amp;RIGHT(R$1,2),DATA!$D$1:$HT$52,MATCH($A3,DATA!$B:$B,0),FALSE)-1,3),0)</f>
        <v>1.4999999999999999E-2</v>
      </c>
    </row>
    <row r="4" spans="1:18" x14ac:dyDescent="0.3">
      <c r="A4" t="s">
        <v>243</v>
      </c>
      <c r="B4">
        <f>IFERROR(ROUND(HLOOKUP(LEFT(B$1,4)&amp;"-"&amp;RIGHT(B$1,2),DATA!$D$1:$HT$52,MATCH($A4,DATA!$B:$B,0),FALSE)/HLOOKUP(LEFT(B$1,4)*1-1&amp;"-"&amp;RIGHT(B$1,2),DATA!$D$1:$HT$52,MATCH($A4,DATA!$B:$B,0),FALSE)-1,3),0)</f>
        <v>0.06</v>
      </c>
      <c r="C4">
        <f>IFERROR(ROUND(HLOOKUP(LEFT(C$1,4)&amp;"-"&amp;RIGHT(C$1,2),DATA!$D$1:$HT$52,MATCH($A4,DATA!$B:$B,0),FALSE)/HLOOKUP(LEFT(C$1,4)*1-1&amp;"-"&amp;RIGHT(C$1,2),DATA!$D$1:$HT$52,MATCH($A4,DATA!$B:$B,0),FALSE)-1,3),0)</f>
        <v>6.0999999999999999E-2</v>
      </c>
      <c r="D4">
        <f>IFERROR(ROUND(HLOOKUP(LEFT(D$1,4)&amp;"-"&amp;RIGHT(D$1,2),DATA!$D$1:$HT$52,MATCH($A4,DATA!$B:$B,0),FALSE)/HLOOKUP(LEFT(D$1,4)*1-1&amp;"-"&amp;RIGHT(D$1,2),DATA!$D$1:$HT$52,MATCH($A4,DATA!$B:$B,0),FALSE)-1,3),0)</f>
        <v>6.4000000000000001E-2</v>
      </c>
      <c r="E4">
        <f>IFERROR(ROUND(HLOOKUP(LEFT(E$1,4)&amp;"-"&amp;RIGHT(E$1,2),DATA!$D$1:$HT$52,MATCH($A4,DATA!$B:$B,0),FALSE)/HLOOKUP(LEFT(E$1,4)*1-1&amp;"-"&amp;RIGHT(E$1,2),DATA!$D$1:$HT$52,MATCH($A4,DATA!$B:$B,0),FALSE)-1,3),0)</f>
        <v>0.19600000000000001</v>
      </c>
      <c r="F4">
        <f>IFERROR(ROUND(HLOOKUP(LEFT(F$1,4)&amp;"-"&amp;RIGHT(F$1,2),DATA!$D$1:$HT$52,MATCH($A4,DATA!$B:$B,0),FALSE)/HLOOKUP(LEFT(F$1,4)*1-1&amp;"-"&amp;RIGHT(F$1,2),DATA!$D$1:$HT$52,MATCH($A4,DATA!$B:$B,0),FALSE)-1,3),0)</f>
        <v>0.40100000000000002</v>
      </c>
      <c r="G4">
        <f>IFERROR(ROUND(HLOOKUP(LEFT(G$1,4)&amp;"-"&amp;RIGHT(G$1,2),DATA!$D$1:$HT$52,MATCH($A4,DATA!$B:$B,0),FALSE)/HLOOKUP(LEFT(G$1,4)*1-1&amp;"-"&amp;RIGHT(G$1,2),DATA!$D$1:$HT$52,MATCH($A4,DATA!$B:$B,0),FALSE)-1,3),0)</f>
        <v>4.0000000000000001E-3</v>
      </c>
      <c r="H4">
        <f>IFERROR(ROUND(HLOOKUP(LEFT(H$1,4)&amp;"-"&amp;RIGHT(H$1,2),DATA!$D$1:$HT$52,MATCH($A4,DATA!$B:$B,0),FALSE)/HLOOKUP(LEFT(H$1,4)*1-1&amp;"-"&amp;RIGHT(H$1,2),DATA!$D$1:$HT$52,MATCH($A4,DATA!$B:$B,0),FALSE)-1,3),0)</f>
        <v>-0.107</v>
      </c>
      <c r="I4">
        <f>IFERROR(ROUND(HLOOKUP(LEFT(I$1,4)&amp;"-"&amp;RIGHT(I$1,2),DATA!$D$1:$HT$52,MATCH($A4,DATA!$B:$B,0),FALSE)/HLOOKUP(LEFT(I$1,4)*1-1&amp;"-"&amp;RIGHT(I$1,2),DATA!$D$1:$HT$52,MATCH($A4,DATA!$B:$B,0),FALSE)-1,3),0)</f>
        <v>-0.19</v>
      </c>
      <c r="J4">
        <f>IFERROR(ROUND(HLOOKUP(LEFT(J$1,4)&amp;"-"&amp;RIGHT(J$1,2),DATA!$D$1:$HT$52,MATCH($A4,DATA!$B:$B,0),FALSE)/HLOOKUP(LEFT(J$1,4)*1-1&amp;"-"&amp;RIGHT(J$1,2),DATA!$D$1:$HT$52,MATCH($A4,DATA!$B:$B,0),FALSE)-1,3),0)</f>
        <v>-0.16</v>
      </c>
      <c r="K4">
        <f>IFERROR(ROUND(HLOOKUP(LEFT(K$1,4)&amp;"-"&amp;RIGHT(K$1,2),DATA!$D$1:$HT$52,MATCH($A4,DATA!$B:$B,0),FALSE)/HLOOKUP(LEFT(K$1,4)*1-1&amp;"-"&amp;RIGHT(K$1,2),DATA!$D$1:$HT$52,MATCH($A4,DATA!$B:$B,0),FALSE)-1,3),0)</f>
        <v>-0.10199999999999999</v>
      </c>
      <c r="L4">
        <f>IFERROR(ROUND(HLOOKUP(LEFT(L$1,4)&amp;"-"&amp;RIGHT(L$1,2),DATA!$D$1:$HT$52,MATCH($A4,DATA!$B:$B,0),FALSE)/HLOOKUP(LEFT(L$1,4)*1-1&amp;"-"&amp;RIGHT(L$1,2),DATA!$D$1:$HT$52,MATCH($A4,DATA!$B:$B,0),FALSE)-1,3),0)</f>
        <v>-5.8999999999999997E-2</v>
      </c>
      <c r="M4">
        <f>IFERROR(ROUND(HLOOKUP(LEFT(M$1,4)&amp;"-"&amp;RIGHT(M$1,2),DATA!$D$1:$HT$52,MATCH($A4,DATA!$B:$B,0),FALSE)/HLOOKUP(LEFT(M$1,4)*1-1&amp;"-"&amp;RIGHT(M$1,2),DATA!$D$1:$HT$52,MATCH($A4,DATA!$B:$B,0),FALSE)-1,3),0)</f>
        <v>0.16500000000000001</v>
      </c>
      <c r="N4">
        <f>IFERROR(ROUND(HLOOKUP(LEFT(N$1,4)&amp;"-"&amp;RIGHT(N$1,2),DATA!$D$1:$HT$52,MATCH($A4,DATA!$B:$B,0),FALSE)/HLOOKUP(LEFT(N$1,4)*1-1&amp;"-"&amp;RIGHT(N$1,2),DATA!$D$1:$HT$52,MATCH($A4,DATA!$B:$B,0),FALSE)-1,3),0)</f>
        <v>0.13500000000000001</v>
      </c>
      <c r="O4">
        <f>IFERROR(ROUND(HLOOKUP(LEFT(O$1,4)&amp;"-"&amp;RIGHT(O$1,2),DATA!$D$1:$HT$52,MATCH($A4,DATA!$B:$B,0),FALSE)/HLOOKUP(LEFT(O$1,4)*1-1&amp;"-"&amp;RIGHT(O$1,2),DATA!$D$1:$HT$52,MATCH($A4,DATA!$B:$B,0),FALSE)-1,3),0)</f>
        <v>4.3999999999999997E-2</v>
      </c>
      <c r="P4">
        <f>IFERROR(ROUND(HLOOKUP(LEFT(P$1,4)&amp;"-"&amp;RIGHT(P$1,2),DATA!$D$1:$HT$52,MATCH($A4,DATA!$B:$B,0),FALSE)/HLOOKUP(LEFT(P$1,4)*1-1&amp;"-"&amp;RIGHT(P$1,2),DATA!$D$1:$HT$52,MATCH($A4,DATA!$B:$B,0),FALSE)-1,3),0)</f>
        <v>7.8E-2</v>
      </c>
      <c r="Q4">
        <f>IFERROR(ROUND(HLOOKUP(LEFT(Q$1,4)&amp;"-"&amp;RIGHT(Q$1,2),DATA!$D$1:$HT$52,MATCH($A4,DATA!$B:$B,0),FALSE)/HLOOKUP(LEFT(Q$1,4)*1-1&amp;"-"&amp;RIGHT(Q$1,2),DATA!$D$1:$HT$52,MATCH($A4,DATA!$B:$B,0),FALSE)-1,3),0)</f>
        <v>8.6999999999999994E-2</v>
      </c>
      <c r="R4">
        <f>IFERROR(ROUND(HLOOKUP(LEFT(R$1,4)&amp;"-"&amp;RIGHT(R$1,2),DATA!$D$1:$HT$52,MATCH($A4,DATA!$B:$B,0),FALSE)/HLOOKUP(LEFT(R$1,4)*1-1&amp;"-"&amp;RIGHT(R$1,2),DATA!$D$1:$HT$52,MATCH($A4,DATA!$B:$B,0),FALSE)-1,3),0)</f>
        <v>7.1999999999999995E-2</v>
      </c>
    </row>
    <row r="5" spans="1:18" x14ac:dyDescent="0.3">
      <c r="A5" t="s">
        <v>259</v>
      </c>
      <c r="B5">
        <f>IFERROR(ROUND(HLOOKUP(LEFT(B$1,4)&amp;"-"&amp;RIGHT(B$1,2),DATA!$D$1:$HT$52,MATCH($A5,DATA!$B:$B,0),FALSE)/HLOOKUP(LEFT(B$1,4)*1-1&amp;"-"&amp;RIGHT(B$1,2),DATA!$D$1:$HT$52,MATCH($A5,DATA!$B:$B,0),FALSE)-1,3),0)</f>
        <v>3.3000000000000002E-2</v>
      </c>
      <c r="C5">
        <f>IFERROR(ROUND(HLOOKUP(LEFT(C$1,4)&amp;"-"&amp;RIGHT(C$1,2),DATA!$D$1:$HT$52,MATCH($A5,DATA!$B:$B,0),FALSE)/HLOOKUP(LEFT(C$1,4)*1-1&amp;"-"&amp;RIGHT(C$1,2),DATA!$D$1:$HT$52,MATCH($A5,DATA!$B:$B,0),FALSE)-1,3),0)</f>
        <v>5.7000000000000002E-2</v>
      </c>
      <c r="D5">
        <f>IFERROR(ROUND(HLOOKUP(LEFT(D$1,4)&amp;"-"&amp;RIGHT(D$1,2),DATA!$D$1:$HT$52,MATCH($A5,DATA!$B:$B,0),FALSE)/HLOOKUP(LEFT(D$1,4)*1-1&amp;"-"&amp;RIGHT(D$1,2),DATA!$D$1:$HT$52,MATCH($A5,DATA!$B:$B,0),FALSE)-1,3),0)</f>
        <v>3.4000000000000002E-2</v>
      </c>
      <c r="E5">
        <f>IFERROR(ROUND(HLOOKUP(LEFT(E$1,4)&amp;"-"&amp;RIGHT(E$1,2),DATA!$D$1:$HT$52,MATCH($A5,DATA!$B:$B,0),FALSE)/HLOOKUP(LEFT(E$1,4)*1-1&amp;"-"&amp;RIGHT(E$1,2),DATA!$D$1:$HT$52,MATCH($A5,DATA!$B:$B,0),FALSE)-1,3),0)</f>
        <v>7.4999999999999997E-2</v>
      </c>
      <c r="F5">
        <f>IFERROR(ROUND(HLOOKUP(LEFT(F$1,4)&amp;"-"&amp;RIGHT(F$1,2),DATA!$D$1:$HT$52,MATCH($A5,DATA!$B:$B,0),FALSE)/HLOOKUP(LEFT(F$1,4)*1-1&amp;"-"&amp;RIGHT(F$1,2),DATA!$D$1:$HT$52,MATCH($A5,DATA!$B:$B,0),FALSE)-1,3),0)</f>
        <v>9.7000000000000003E-2</v>
      </c>
      <c r="G5">
        <f>IFERROR(ROUND(HLOOKUP(LEFT(G$1,4)&amp;"-"&amp;RIGHT(G$1,2),DATA!$D$1:$HT$52,MATCH($A5,DATA!$B:$B,0),FALSE)/HLOOKUP(LEFT(G$1,4)*1-1&amp;"-"&amp;RIGHT(G$1,2),DATA!$D$1:$HT$52,MATCH($A5,DATA!$B:$B,0),FALSE)-1,3),0)</f>
        <v>6.2E-2</v>
      </c>
      <c r="H5">
        <f>IFERROR(ROUND(HLOOKUP(LEFT(H$1,4)&amp;"-"&amp;RIGHT(H$1,2),DATA!$D$1:$HT$52,MATCH($A5,DATA!$B:$B,0),FALSE)/HLOOKUP(LEFT(H$1,4)*1-1&amp;"-"&amp;RIGHT(H$1,2),DATA!$D$1:$HT$52,MATCH($A5,DATA!$B:$B,0),FALSE)-1,3),0)</f>
        <v>4.0000000000000001E-3</v>
      </c>
      <c r="I5">
        <f>IFERROR(ROUND(HLOOKUP(LEFT(I$1,4)&amp;"-"&amp;RIGHT(I$1,2),DATA!$D$1:$HT$52,MATCH($A5,DATA!$B:$B,0),FALSE)/HLOOKUP(LEFT(I$1,4)*1-1&amp;"-"&amp;RIGHT(I$1,2),DATA!$D$1:$HT$52,MATCH($A5,DATA!$B:$B,0),FALSE)-1,3),0)</f>
        <v>-2.7E-2</v>
      </c>
      <c r="J5">
        <f>IFERROR(ROUND(HLOOKUP(LEFT(J$1,4)&amp;"-"&amp;RIGHT(J$1,2),DATA!$D$1:$HT$52,MATCH($A5,DATA!$B:$B,0),FALSE)/HLOOKUP(LEFT(J$1,4)*1-1&amp;"-"&amp;RIGHT(J$1,2),DATA!$D$1:$HT$52,MATCH($A5,DATA!$B:$B,0),FALSE)-1,3),0)</f>
        <v>-1.9E-2</v>
      </c>
      <c r="K5">
        <f>IFERROR(ROUND(HLOOKUP(LEFT(K$1,4)&amp;"-"&amp;RIGHT(K$1,2),DATA!$D$1:$HT$52,MATCH($A5,DATA!$B:$B,0),FALSE)/HLOOKUP(LEFT(K$1,4)*1-1&amp;"-"&amp;RIGHT(K$1,2),DATA!$D$1:$HT$52,MATCH($A5,DATA!$B:$B,0),FALSE)-1,3),0)</f>
        <v>-2.1000000000000001E-2</v>
      </c>
      <c r="L5">
        <f>IFERROR(ROUND(HLOOKUP(LEFT(L$1,4)&amp;"-"&amp;RIGHT(L$1,2),DATA!$D$1:$HT$52,MATCH($A5,DATA!$B:$B,0),FALSE)/HLOOKUP(LEFT(L$1,4)*1-1&amp;"-"&amp;RIGHT(L$1,2),DATA!$D$1:$HT$52,MATCH($A5,DATA!$B:$B,0),FALSE)-1,3),0)</f>
        <v>-2.1000000000000001E-2</v>
      </c>
      <c r="M5">
        <f>IFERROR(ROUND(HLOOKUP(LEFT(M$1,4)&amp;"-"&amp;RIGHT(M$1,2),DATA!$D$1:$HT$52,MATCH($A5,DATA!$B:$B,0),FALSE)/HLOOKUP(LEFT(M$1,4)*1-1&amp;"-"&amp;RIGHT(M$1,2),DATA!$D$1:$HT$52,MATCH($A5,DATA!$B:$B,0),FALSE)-1,3),0)</f>
        <v>0.01</v>
      </c>
      <c r="N5">
        <f>IFERROR(ROUND(HLOOKUP(LEFT(N$1,4)&amp;"-"&amp;RIGHT(N$1,2),DATA!$D$1:$HT$52,MATCH($A5,DATA!$B:$B,0),FALSE)/HLOOKUP(LEFT(N$1,4)*1-1&amp;"-"&amp;RIGHT(N$1,2),DATA!$D$1:$HT$52,MATCH($A5,DATA!$B:$B,0),FALSE)-1,3),0)</f>
        <v>0.04</v>
      </c>
      <c r="O5">
        <f>IFERROR(ROUND(HLOOKUP(LEFT(O$1,4)&amp;"-"&amp;RIGHT(O$1,2),DATA!$D$1:$HT$52,MATCH($A5,DATA!$B:$B,0),FALSE)/HLOOKUP(LEFT(O$1,4)*1-1&amp;"-"&amp;RIGHT(O$1,2),DATA!$D$1:$HT$52,MATCH($A5,DATA!$B:$B,0),FALSE)-1,3),0)</f>
        <v>2.8000000000000001E-2</v>
      </c>
      <c r="P5">
        <f>IFERROR(ROUND(HLOOKUP(LEFT(P$1,4)&amp;"-"&amp;RIGHT(P$1,2),DATA!$D$1:$HT$52,MATCH($A5,DATA!$B:$B,0),FALSE)/HLOOKUP(LEFT(P$1,4)*1-1&amp;"-"&amp;RIGHT(P$1,2),DATA!$D$1:$HT$52,MATCH($A5,DATA!$B:$B,0),FALSE)-1,3),0)</f>
        <v>4.3999999999999997E-2</v>
      </c>
      <c r="Q5">
        <f>IFERROR(ROUND(HLOOKUP(LEFT(Q$1,4)&amp;"-"&amp;RIGHT(Q$1,2),DATA!$D$1:$HT$52,MATCH($A5,DATA!$B:$B,0),FALSE)/HLOOKUP(LEFT(Q$1,4)*1-1&amp;"-"&amp;RIGHT(Q$1,2),DATA!$D$1:$HT$52,MATCH($A5,DATA!$B:$B,0),FALSE)-1,3),0)</f>
        <v>6.5000000000000002E-2</v>
      </c>
      <c r="R5">
        <f>IFERROR(ROUND(HLOOKUP(LEFT(R$1,4)&amp;"-"&amp;RIGHT(R$1,2),DATA!$D$1:$HT$52,MATCH($A5,DATA!$B:$B,0),FALSE)/HLOOKUP(LEFT(R$1,4)*1-1&amp;"-"&amp;RIGHT(R$1,2),DATA!$D$1:$HT$52,MATCH($A5,DATA!$B:$B,0),FALSE)-1,3),0)</f>
        <v>3.5000000000000003E-2</v>
      </c>
    </row>
    <row r="6" spans="1:18" x14ac:dyDescent="0.3">
      <c r="A6" t="s">
        <v>228</v>
      </c>
      <c r="B6">
        <f>IFERROR(ROUND(HLOOKUP(LEFT(B$1,4)&amp;"-"&amp;RIGHT(B$1,2),DATA!$D$1:$HT$52,MATCH($A6,DATA!$B:$B,0),FALSE)/HLOOKUP(LEFT(B$1,4)*1-1&amp;"-"&amp;RIGHT(B$1,2),DATA!$D$1:$HT$52,MATCH($A6,DATA!$B:$B,0),FALSE)-1,3),0)</f>
        <v>0.122</v>
      </c>
      <c r="C6">
        <f>IFERROR(ROUND(HLOOKUP(LEFT(C$1,4)&amp;"-"&amp;RIGHT(C$1,2),DATA!$D$1:$HT$52,MATCH($A6,DATA!$B:$B,0),FALSE)/HLOOKUP(LEFT(C$1,4)*1-1&amp;"-"&amp;RIGHT(C$1,2),DATA!$D$1:$HT$52,MATCH($A6,DATA!$B:$B,0),FALSE)-1,3),0)</f>
        <v>0.16300000000000001</v>
      </c>
      <c r="D6">
        <f>IFERROR(ROUND(HLOOKUP(LEFT(D$1,4)&amp;"-"&amp;RIGHT(D$1,2),DATA!$D$1:$HT$52,MATCH($A6,DATA!$B:$B,0),FALSE)/HLOOKUP(LEFT(D$1,4)*1-1&amp;"-"&amp;RIGHT(D$1,2),DATA!$D$1:$HT$52,MATCH($A6,DATA!$B:$B,0),FALSE)-1,3),0)</f>
        <v>0.20200000000000001</v>
      </c>
      <c r="E6">
        <f>IFERROR(ROUND(HLOOKUP(LEFT(E$1,4)&amp;"-"&amp;RIGHT(E$1,2),DATA!$D$1:$HT$52,MATCH($A6,DATA!$B:$B,0),FALSE)/HLOOKUP(LEFT(E$1,4)*1-1&amp;"-"&amp;RIGHT(E$1,2),DATA!$D$1:$HT$52,MATCH($A6,DATA!$B:$B,0),FALSE)-1,3),0)</f>
        <v>0.26700000000000002</v>
      </c>
      <c r="F6">
        <f>IFERROR(ROUND(HLOOKUP(LEFT(F$1,4)&amp;"-"&amp;RIGHT(F$1,2),DATA!$D$1:$HT$52,MATCH($A6,DATA!$B:$B,0),FALSE)/HLOOKUP(LEFT(F$1,4)*1-1&amp;"-"&amp;RIGHT(F$1,2),DATA!$D$1:$HT$52,MATCH($A6,DATA!$B:$B,0),FALSE)-1,3),0)</f>
        <v>0.13800000000000001</v>
      </c>
      <c r="G6">
        <f>IFERROR(ROUND(HLOOKUP(LEFT(G$1,4)&amp;"-"&amp;RIGHT(G$1,2),DATA!$D$1:$HT$52,MATCH($A6,DATA!$B:$B,0),FALSE)/HLOOKUP(LEFT(G$1,4)*1-1&amp;"-"&amp;RIGHT(G$1,2),DATA!$D$1:$HT$52,MATCH($A6,DATA!$B:$B,0),FALSE)-1,3),0)</f>
        <v>-4.0000000000000001E-3</v>
      </c>
      <c r="H6">
        <f>IFERROR(ROUND(HLOOKUP(LEFT(H$1,4)&amp;"-"&amp;RIGHT(H$1,2),DATA!$D$1:$HT$52,MATCH($A6,DATA!$B:$B,0),FALSE)/HLOOKUP(LEFT(H$1,4)*1-1&amp;"-"&amp;RIGHT(H$1,2),DATA!$D$1:$HT$52,MATCH($A6,DATA!$B:$B,0),FALSE)-1,3),0)</f>
        <v>-0.114</v>
      </c>
      <c r="I6">
        <f>IFERROR(ROUND(HLOOKUP(LEFT(I$1,4)&amp;"-"&amp;RIGHT(I$1,2),DATA!$D$1:$HT$52,MATCH($A6,DATA!$B:$B,0),FALSE)/HLOOKUP(LEFT(I$1,4)*1-1&amp;"-"&amp;RIGHT(I$1,2),DATA!$D$1:$HT$52,MATCH($A6,DATA!$B:$B,0),FALSE)-1,3),0)</f>
        <v>-0.20799999999999999</v>
      </c>
      <c r="J6">
        <f>IFERROR(ROUND(HLOOKUP(LEFT(J$1,4)&amp;"-"&amp;RIGHT(J$1,2),DATA!$D$1:$HT$52,MATCH($A6,DATA!$B:$B,0),FALSE)/HLOOKUP(LEFT(J$1,4)*1-1&amp;"-"&amp;RIGHT(J$1,2),DATA!$D$1:$HT$52,MATCH($A6,DATA!$B:$B,0),FALSE)-1,3),0)</f>
        <v>-9.6000000000000002E-2</v>
      </c>
      <c r="K6">
        <f>IFERROR(ROUND(HLOOKUP(LEFT(K$1,4)&amp;"-"&amp;RIGHT(K$1,2),DATA!$D$1:$HT$52,MATCH($A6,DATA!$B:$B,0),FALSE)/HLOOKUP(LEFT(K$1,4)*1-1&amp;"-"&amp;RIGHT(K$1,2),DATA!$D$1:$HT$52,MATCH($A6,DATA!$B:$B,0),FALSE)-1,3),0)</f>
        <v>-3.1E-2</v>
      </c>
      <c r="L6">
        <f>IFERROR(ROUND(HLOOKUP(LEFT(L$1,4)&amp;"-"&amp;RIGHT(L$1,2),DATA!$D$1:$HT$52,MATCH($A6,DATA!$B:$B,0),FALSE)/HLOOKUP(LEFT(L$1,4)*1-1&amp;"-"&amp;RIGHT(L$1,2),DATA!$D$1:$HT$52,MATCH($A6,DATA!$B:$B,0),FALSE)-1,3),0)</f>
        <v>-6.9000000000000006E-2</v>
      </c>
      <c r="M6">
        <f>IFERROR(ROUND(HLOOKUP(LEFT(M$1,4)&amp;"-"&amp;RIGHT(M$1,2),DATA!$D$1:$HT$52,MATCH($A6,DATA!$B:$B,0),FALSE)/HLOOKUP(LEFT(M$1,4)*1-1&amp;"-"&amp;RIGHT(M$1,2),DATA!$D$1:$HT$52,MATCH($A6,DATA!$B:$B,0),FALSE)-1,3),0)</f>
        <v>8.4000000000000005E-2</v>
      </c>
      <c r="N6">
        <f>IFERROR(ROUND(HLOOKUP(LEFT(N$1,4)&amp;"-"&amp;RIGHT(N$1,2),DATA!$D$1:$HT$52,MATCH($A6,DATA!$B:$B,0),FALSE)/HLOOKUP(LEFT(N$1,4)*1-1&amp;"-"&amp;RIGHT(N$1,2),DATA!$D$1:$HT$52,MATCH($A6,DATA!$B:$B,0),FALSE)-1,3),0)</f>
        <v>0.19500000000000001</v>
      </c>
      <c r="O6">
        <f>IFERROR(ROUND(HLOOKUP(LEFT(O$1,4)&amp;"-"&amp;RIGHT(O$1,2),DATA!$D$1:$HT$52,MATCH($A6,DATA!$B:$B,0),FALSE)/HLOOKUP(LEFT(O$1,4)*1-1&amp;"-"&amp;RIGHT(O$1,2),DATA!$D$1:$HT$52,MATCH($A6,DATA!$B:$B,0),FALSE)-1,3),0)</f>
        <v>7.1999999999999995E-2</v>
      </c>
      <c r="P6">
        <f>IFERROR(ROUND(HLOOKUP(LEFT(P$1,4)&amp;"-"&amp;RIGHT(P$1,2),DATA!$D$1:$HT$52,MATCH($A6,DATA!$B:$B,0),FALSE)/HLOOKUP(LEFT(P$1,4)*1-1&amp;"-"&amp;RIGHT(P$1,2),DATA!$D$1:$HT$52,MATCH($A6,DATA!$B:$B,0),FALSE)-1,3),0)</f>
        <v>7.3999999999999996E-2</v>
      </c>
      <c r="Q6">
        <f>IFERROR(ROUND(HLOOKUP(LEFT(Q$1,4)&amp;"-"&amp;RIGHT(Q$1,2),DATA!$D$1:$HT$52,MATCH($A6,DATA!$B:$B,0),FALSE)/HLOOKUP(LEFT(Q$1,4)*1-1&amp;"-"&amp;RIGHT(Q$1,2),DATA!$D$1:$HT$52,MATCH($A6,DATA!$B:$B,0),FALSE)-1,3),0)</f>
        <v>7.5999999999999998E-2</v>
      </c>
      <c r="R6">
        <f>IFERROR(ROUND(HLOOKUP(LEFT(R$1,4)&amp;"-"&amp;RIGHT(R$1,2),DATA!$D$1:$HT$52,MATCH($A6,DATA!$B:$B,0),FALSE)/HLOOKUP(LEFT(R$1,4)*1-1&amp;"-"&amp;RIGHT(R$1,2),DATA!$D$1:$HT$52,MATCH($A6,DATA!$B:$B,0),FALSE)-1,3),0)</f>
        <v>7.9000000000000001E-2</v>
      </c>
    </row>
    <row r="7" spans="1:18" x14ac:dyDescent="0.3">
      <c r="A7" t="s">
        <v>249</v>
      </c>
      <c r="B7">
        <f>IFERROR(ROUND(HLOOKUP(LEFT(B$1,4)&amp;"-"&amp;RIGHT(B$1,2),DATA!$D$1:$HT$52,MATCH($A7,DATA!$B:$B,0),FALSE)/HLOOKUP(LEFT(B$1,4)*1-1&amp;"-"&amp;RIGHT(B$1,2),DATA!$D$1:$HT$52,MATCH($A7,DATA!$B:$B,0),FALSE)-1,3),0)</f>
        <v>7.8E-2</v>
      </c>
      <c r="C7">
        <f>IFERROR(ROUND(HLOOKUP(LEFT(C$1,4)&amp;"-"&amp;RIGHT(C$1,2),DATA!$D$1:$HT$52,MATCH($A7,DATA!$B:$B,0),FALSE)/HLOOKUP(LEFT(C$1,4)*1-1&amp;"-"&amp;RIGHT(C$1,2),DATA!$D$1:$HT$52,MATCH($A7,DATA!$B:$B,0),FALSE)-1,3),0)</f>
        <v>3.5000000000000003E-2</v>
      </c>
      <c r="D7">
        <f>IFERROR(ROUND(HLOOKUP(LEFT(D$1,4)&amp;"-"&amp;RIGHT(D$1,2),DATA!$D$1:$HT$52,MATCH($A7,DATA!$B:$B,0),FALSE)/HLOOKUP(LEFT(D$1,4)*1-1&amp;"-"&amp;RIGHT(D$1,2),DATA!$D$1:$HT$52,MATCH($A7,DATA!$B:$B,0),FALSE)-1,3),0)</f>
        <v>2.8000000000000001E-2</v>
      </c>
      <c r="E7">
        <f>IFERROR(ROUND(HLOOKUP(LEFT(E$1,4)&amp;"-"&amp;RIGHT(E$1,2),DATA!$D$1:$HT$52,MATCH($A7,DATA!$B:$B,0),FALSE)/HLOOKUP(LEFT(E$1,4)*1-1&amp;"-"&amp;RIGHT(E$1,2),DATA!$D$1:$HT$52,MATCH($A7,DATA!$B:$B,0),FALSE)-1,3),0)</f>
        <v>3.2000000000000001E-2</v>
      </c>
      <c r="F7">
        <f>IFERROR(ROUND(HLOOKUP(LEFT(F$1,4)&amp;"-"&amp;RIGHT(F$1,2),DATA!$D$1:$HT$52,MATCH($A7,DATA!$B:$B,0),FALSE)/HLOOKUP(LEFT(F$1,4)*1-1&amp;"-"&amp;RIGHT(F$1,2),DATA!$D$1:$HT$52,MATCH($A7,DATA!$B:$B,0),FALSE)-1,3),0)</f>
        <v>3.5999999999999997E-2</v>
      </c>
      <c r="G7">
        <f>IFERROR(ROUND(HLOOKUP(LEFT(G$1,4)&amp;"-"&amp;RIGHT(G$1,2),DATA!$D$1:$HT$52,MATCH($A7,DATA!$B:$B,0),FALSE)/HLOOKUP(LEFT(G$1,4)*1-1&amp;"-"&amp;RIGHT(G$1,2),DATA!$D$1:$HT$52,MATCH($A7,DATA!$B:$B,0),FALSE)-1,3),0)</f>
        <v>0.02</v>
      </c>
      <c r="H7">
        <f>IFERROR(ROUND(HLOOKUP(LEFT(H$1,4)&amp;"-"&amp;RIGHT(H$1,2),DATA!$D$1:$HT$52,MATCH($A7,DATA!$B:$B,0),FALSE)/HLOOKUP(LEFT(H$1,4)*1-1&amp;"-"&amp;RIGHT(H$1,2),DATA!$D$1:$HT$52,MATCH($A7,DATA!$B:$B,0),FALSE)-1,3),0)</f>
        <v>-1.4E-2</v>
      </c>
      <c r="I7">
        <f>IFERROR(ROUND(HLOOKUP(LEFT(I$1,4)&amp;"-"&amp;RIGHT(I$1,2),DATA!$D$1:$HT$52,MATCH($A7,DATA!$B:$B,0),FALSE)/HLOOKUP(LEFT(I$1,4)*1-1&amp;"-"&amp;RIGHT(I$1,2),DATA!$D$1:$HT$52,MATCH($A7,DATA!$B:$B,0),FALSE)-1,3),0)</f>
        <v>-3.6999999999999998E-2</v>
      </c>
      <c r="J7">
        <f>IFERROR(ROUND(HLOOKUP(LEFT(J$1,4)&amp;"-"&amp;RIGHT(J$1,2),DATA!$D$1:$HT$52,MATCH($A7,DATA!$B:$B,0),FALSE)/HLOOKUP(LEFT(J$1,4)*1-1&amp;"-"&amp;RIGHT(J$1,2),DATA!$D$1:$HT$52,MATCH($A7,DATA!$B:$B,0),FALSE)-1,3),0)</f>
        <v>-1.7000000000000001E-2</v>
      </c>
      <c r="K7">
        <f>IFERROR(ROUND(HLOOKUP(LEFT(K$1,4)&amp;"-"&amp;RIGHT(K$1,2),DATA!$D$1:$HT$52,MATCH($A7,DATA!$B:$B,0),FALSE)/HLOOKUP(LEFT(K$1,4)*1-1&amp;"-"&amp;RIGHT(K$1,2),DATA!$D$1:$HT$52,MATCH($A7,DATA!$B:$B,0),FALSE)-1,3),0)</f>
        <v>-3.2000000000000001E-2</v>
      </c>
      <c r="L7">
        <f>IFERROR(ROUND(HLOOKUP(LEFT(L$1,4)&amp;"-"&amp;RIGHT(L$1,2),DATA!$D$1:$HT$52,MATCH($A7,DATA!$B:$B,0),FALSE)/HLOOKUP(LEFT(L$1,4)*1-1&amp;"-"&amp;RIGHT(L$1,2),DATA!$D$1:$HT$52,MATCH($A7,DATA!$B:$B,0),FALSE)-1,3),0)</f>
        <v>-1.7000000000000001E-2</v>
      </c>
      <c r="M7">
        <f>IFERROR(ROUND(HLOOKUP(LEFT(M$1,4)&amp;"-"&amp;RIGHT(M$1,2),DATA!$D$1:$HT$52,MATCH($A7,DATA!$B:$B,0),FALSE)/HLOOKUP(LEFT(M$1,4)*1-1&amp;"-"&amp;RIGHT(M$1,2),DATA!$D$1:$HT$52,MATCH($A7,DATA!$B:$B,0),FALSE)-1,3),0)</f>
        <v>6.3E-2</v>
      </c>
      <c r="N7">
        <f>IFERROR(ROUND(HLOOKUP(LEFT(N$1,4)&amp;"-"&amp;RIGHT(N$1,2),DATA!$D$1:$HT$52,MATCH($A7,DATA!$B:$B,0),FALSE)/HLOOKUP(LEFT(N$1,4)*1-1&amp;"-"&amp;RIGHT(N$1,2),DATA!$D$1:$HT$52,MATCH($A7,DATA!$B:$B,0),FALSE)-1,3),0)</f>
        <v>8.1000000000000003E-2</v>
      </c>
      <c r="O7">
        <f>IFERROR(ROUND(HLOOKUP(LEFT(O$1,4)&amp;"-"&amp;RIGHT(O$1,2),DATA!$D$1:$HT$52,MATCH($A7,DATA!$B:$B,0),FALSE)/HLOOKUP(LEFT(O$1,4)*1-1&amp;"-"&amp;RIGHT(O$1,2),DATA!$D$1:$HT$52,MATCH($A7,DATA!$B:$B,0),FALSE)-1,3),0)</f>
        <v>9.1999999999999998E-2</v>
      </c>
      <c r="P7">
        <f>IFERROR(ROUND(HLOOKUP(LEFT(P$1,4)&amp;"-"&amp;RIGHT(P$1,2),DATA!$D$1:$HT$52,MATCH($A7,DATA!$B:$B,0),FALSE)/HLOOKUP(LEFT(P$1,4)*1-1&amp;"-"&amp;RIGHT(P$1,2),DATA!$D$1:$HT$52,MATCH($A7,DATA!$B:$B,0),FALSE)-1,3),0)</f>
        <v>0.13500000000000001</v>
      </c>
      <c r="Q7">
        <f>IFERROR(ROUND(HLOOKUP(LEFT(Q$1,4)&amp;"-"&amp;RIGHT(Q$1,2),DATA!$D$1:$HT$52,MATCH($A7,DATA!$B:$B,0),FALSE)/HLOOKUP(LEFT(Q$1,4)*1-1&amp;"-"&amp;RIGHT(Q$1,2),DATA!$D$1:$HT$52,MATCH($A7,DATA!$B:$B,0),FALSE)-1,3),0)</f>
        <v>0.106</v>
      </c>
      <c r="R7">
        <f>IFERROR(ROUND(HLOOKUP(LEFT(R$1,4)&amp;"-"&amp;RIGHT(R$1,2),DATA!$D$1:$HT$52,MATCH($A7,DATA!$B:$B,0),FALSE)/HLOOKUP(LEFT(R$1,4)*1-1&amp;"-"&amp;RIGHT(R$1,2),DATA!$D$1:$HT$52,MATCH($A7,DATA!$B:$B,0),FALSE)-1,3),0)</f>
        <v>0.08</v>
      </c>
    </row>
    <row r="8" spans="1:18" x14ac:dyDescent="0.3">
      <c r="A8" t="s">
        <v>256</v>
      </c>
      <c r="B8">
        <f>IFERROR(ROUND(HLOOKUP(LEFT(B$1,4)&amp;"-"&amp;RIGHT(B$1,2),DATA!$D$1:$HT$52,MATCH($A8,DATA!$B:$B,0),FALSE)/HLOOKUP(LEFT(B$1,4)*1-1&amp;"-"&amp;RIGHT(B$1,2),DATA!$D$1:$HT$52,MATCH($A8,DATA!$B:$B,0),FALSE)-1,3),0)</f>
        <v>0.104</v>
      </c>
      <c r="C8">
        <f>IFERROR(ROUND(HLOOKUP(LEFT(C$1,4)&amp;"-"&amp;RIGHT(C$1,2),DATA!$D$1:$HT$52,MATCH($A8,DATA!$B:$B,0),FALSE)/HLOOKUP(LEFT(C$1,4)*1-1&amp;"-"&amp;RIGHT(C$1,2),DATA!$D$1:$HT$52,MATCH($A8,DATA!$B:$B,0),FALSE)-1,3),0)</f>
        <v>0.11799999999999999</v>
      </c>
      <c r="D8">
        <f>IFERROR(ROUND(HLOOKUP(LEFT(D$1,4)&amp;"-"&amp;RIGHT(D$1,2),DATA!$D$1:$HT$52,MATCH($A8,DATA!$B:$B,0),FALSE)/HLOOKUP(LEFT(D$1,4)*1-1&amp;"-"&amp;RIGHT(D$1,2),DATA!$D$1:$HT$52,MATCH($A8,DATA!$B:$B,0),FALSE)-1,3),0)</f>
        <v>0.14399999999999999</v>
      </c>
      <c r="E8">
        <f>IFERROR(ROUND(HLOOKUP(LEFT(E$1,4)&amp;"-"&amp;RIGHT(E$1,2),DATA!$D$1:$HT$52,MATCH($A8,DATA!$B:$B,0),FALSE)/HLOOKUP(LEFT(E$1,4)*1-1&amp;"-"&amp;RIGHT(E$1,2),DATA!$D$1:$HT$52,MATCH($A8,DATA!$B:$B,0),FALSE)-1,3),0)</f>
        <v>0.127</v>
      </c>
      <c r="F8">
        <f>IFERROR(ROUND(HLOOKUP(LEFT(F$1,4)&amp;"-"&amp;RIGHT(F$1,2),DATA!$D$1:$HT$52,MATCH($A8,DATA!$B:$B,0),FALSE)/HLOOKUP(LEFT(F$1,4)*1-1&amp;"-"&amp;RIGHT(F$1,2),DATA!$D$1:$HT$52,MATCH($A8,DATA!$B:$B,0),FALSE)-1,3),0)</f>
        <v>9.7000000000000003E-2</v>
      </c>
      <c r="G8">
        <f>IFERROR(ROUND(HLOOKUP(LEFT(G$1,4)&amp;"-"&amp;RIGHT(G$1,2),DATA!$D$1:$HT$52,MATCH($A8,DATA!$B:$B,0),FALSE)/HLOOKUP(LEFT(G$1,4)*1-1&amp;"-"&amp;RIGHT(G$1,2),DATA!$D$1:$HT$52,MATCH($A8,DATA!$B:$B,0),FALSE)-1,3),0)</f>
        <v>0</v>
      </c>
      <c r="H8">
        <f>IFERROR(ROUND(HLOOKUP(LEFT(H$1,4)&amp;"-"&amp;RIGHT(H$1,2),DATA!$D$1:$HT$52,MATCH($A8,DATA!$B:$B,0),FALSE)/HLOOKUP(LEFT(H$1,4)*1-1&amp;"-"&amp;RIGHT(H$1,2),DATA!$D$1:$HT$52,MATCH($A8,DATA!$B:$B,0),FALSE)-1,3),0)</f>
        <v>-3.5999999999999997E-2</v>
      </c>
      <c r="I8">
        <f>IFERROR(ROUND(HLOOKUP(LEFT(I$1,4)&amp;"-"&amp;RIGHT(I$1,2),DATA!$D$1:$HT$52,MATCH($A8,DATA!$B:$B,0),FALSE)/HLOOKUP(LEFT(I$1,4)*1-1&amp;"-"&amp;RIGHT(I$1,2),DATA!$D$1:$HT$52,MATCH($A8,DATA!$B:$B,0),FALSE)-1,3),0)</f>
        <v>-7.4999999999999997E-2</v>
      </c>
      <c r="J8">
        <f>IFERROR(ROUND(HLOOKUP(LEFT(J$1,4)&amp;"-"&amp;RIGHT(J$1,2),DATA!$D$1:$HT$52,MATCH($A8,DATA!$B:$B,0),FALSE)/HLOOKUP(LEFT(J$1,4)*1-1&amp;"-"&amp;RIGHT(J$1,2),DATA!$D$1:$HT$52,MATCH($A8,DATA!$B:$B,0),FALSE)-1,3),0)</f>
        <v>-5.0999999999999997E-2</v>
      </c>
      <c r="K8">
        <f>IFERROR(ROUND(HLOOKUP(LEFT(K$1,4)&amp;"-"&amp;RIGHT(K$1,2),DATA!$D$1:$HT$52,MATCH($A8,DATA!$B:$B,0),FALSE)/HLOOKUP(LEFT(K$1,4)*1-1&amp;"-"&amp;RIGHT(K$1,2),DATA!$D$1:$HT$52,MATCH($A8,DATA!$B:$B,0),FALSE)-1,3),0)</f>
        <v>-4.2000000000000003E-2</v>
      </c>
      <c r="L8">
        <f>IFERROR(ROUND(HLOOKUP(LEFT(L$1,4)&amp;"-"&amp;RIGHT(L$1,2),DATA!$D$1:$HT$52,MATCH($A8,DATA!$B:$B,0),FALSE)/HLOOKUP(LEFT(L$1,4)*1-1&amp;"-"&amp;RIGHT(L$1,2),DATA!$D$1:$HT$52,MATCH($A8,DATA!$B:$B,0),FALSE)-1,3),0)</f>
        <v>-5.2999999999999999E-2</v>
      </c>
      <c r="M8">
        <f>IFERROR(ROUND(HLOOKUP(LEFT(M$1,4)&amp;"-"&amp;RIGHT(M$1,2),DATA!$D$1:$HT$52,MATCH($A8,DATA!$B:$B,0),FALSE)/HLOOKUP(LEFT(M$1,4)*1-1&amp;"-"&amp;RIGHT(M$1,2),DATA!$D$1:$HT$52,MATCH($A8,DATA!$B:$B,0),FALSE)-1,3),0)</f>
        <v>-2.1999999999999999E-2</v>
      </c>
      <c r="N8">
        <f>IFERROR(ROUND(HLOOKUP(LEFT(N$1,4)&amp;"-"&amp;RIGHT(N$1,2),DATA!$D$1:$HT$52,MATCH($A8,DATA!$B:$B,0),FALSE)/HLOOKUP(LEFT(N$1,4)*1-1&amp;"-"&amp;RIGHT(N$1,2),DATA!$D$1:$HT$52,MATCH($A8,DATA!$B:$B,0),FALSE)-1,3),0)</f>
        <v>2.7E-2</v>
      </c>
      <c r="O8">
        <f>IFERROR(ROUND(HLOOKUP(LEFT(O$1,4)&amp;"-"&amp;RIGHT(O$1,2),DATA!$D$1:$HT$52,MATCH($A8,DATA!$B:$B,0),FALSE)/HLOOKUP(LEFT(O$1,4)*1-1&amp;"-"&amp;RIGHT(O$1,2),DATA!$D$1:$HT$52,MATCH($A8,DATA!$B:$B,0),FALSE)-1,3),0)</f>
        <v>-3.0000000000000001E-3</v>
      </c>
      <c r="P8">
        <f>IFERROR(ROUND(HLOOKUP(LEFT(P$1,4)&amp;"-"&amp;RIGHT(P$1,2),DATA!$D$1:$HT$52,MATCH($A8,DATA!$B:$B,0),FALSE)/HLOOKUP(LEFT(P$1,4)*1-1&amp;"-"&amp;RIGHT(P$1,2),DATA!$D$1:$HT$52,MATCH($A8,DATA!$B:$B,0),FALSE)-1,3),0)</f>
        <v>7.0000000000000001E-3</v>
      </c>
      <c r="Q8">
        <f>IFERROR(ROUND(HLOOKUP(LEFT(Q$1,4)&amp;"-"&amp;RIGHT(Q$1,2),DATA!$D$1:$HT$52,MATCH($A8,DATA!$B:$B,0),FALSE)/HLOOKUP(LEFT(Q$1,4)*1-1&amp;"-"&amp;RIGHT(Q$1,2),DATA!$D$1:$HT$52,MATCH($A8,DATA!$B:$B,0),FALSE)-1,3),0)</f>
        <v>1.9E-2</v>
      </c>
      <c r="R8">
        <f>IFERROR(ROUND(HLOOKUP(LEFT(R$1,4)&amp;"-"&amp;RIGHT(R$1,2),DATA!$D$1:$HT$52,MATCH($A8,DATA!$B:$B,0),FALSE)/HLOOKUP(LEFT(R$1,4)*1-1&amp;"-"&amp;RIGHT(R$1,2),DATA!$D$1:$HT$52,MATCH($A8,DATA!$B:$B,0),FALSE)-1,3),0)</f>
        <v>0.04</v>
      </c>
    </row>
    <row r="9" spans="1:18" x14ac:dyDescent="0.3">
      <c r="A9" t="s">
        <v>272</v>
      </c>
      <c r="B9">
        <f>IFERROR(ROUND(HLOOKUP(LEFT(B$1,4)&amp;"-"&amp;RIGHT(B$1,2),DATA!$D$1:$HT$52,MATCH($A9,DATA!$B:$B,0),FALSE)/HLOOKUP(LEFT(B$1,4)*1-1&amp;"-"&amp;RIGHT(B$1,2),DATA!$D$1:$HT$52,MATCH($A9,DATA!$B:$B,0),FALSE)-1,3),0)</f>
        <v>8.1000000000000003E-2</v>
      </c>
      <c r="C9">
        <f>IFERROR(ROUND(HLOOKUP(LEFT(C$1,4)&amp;"-"&amp;RIGHT(C$1,2),DATA!$D$1:$HT$52,MATCH($A9,DATA!$B:$B,0),FALSE)/HLOOKUP(LEFT(C$1,4)*1-1&amp;"-"&amp;RIGHT(C$1,2),DATA!$D$1:$HT$52,MATCH($A9,DATA!$B:$B,0),FALSE)-1,3),0)</f>
        <v>8.6999999999999994E-2</v>
      </c>
      <c r="D9">
        <f>IFERROR(ROUND(HLOOKUP(LEFT(D$1,4)&amp;"-"&amp;RIGHT(D$1,2),DATA!$D$1:$HT$52,MATCH($A9,DATA!$B:$B,0),FALSE)/HLOOKUP(LEFT(D$1,4)*1-1&amp;"-"&amp;RIGHT(D$1,2),DATA!$D$1:$HT$52,MATCH($A9,DATA!$B:$B,0),FALSE)-1,3),0)</f>
        <v>0.13700000000000001</v>
      </c>
      <c r="E9">
        <f>IFERROR(ROUND(HLOOKUP(LEFT(E$1,4)&amp;"-"&amp;RIGHT(E$1,2),DATA!$D$1:$HT$52,MATCH($A9,DATA!$B:$B,0),FALSE)/HLOOKUP(LEFT(E$1,4)*1-1&amp;"-"&amp;RIGHT(E$1,2),DATA!$D$1:$HT$52,MATCH($A9,DATA!$B:$B,0),FALSE)-1,3),0)</f>
        <v>0.23400000000000001</v>
      </c>
      <c r="F9">
        <f>IFERROR(ROUND(HLOOKUP(LEFT(F$1,4)&amp;"-"&amp;RIGHT(F$1,2),DATA!$D$1:$HT$52,MATCH($A9,DATA!$B:$B,0),FALSE)/HLOOKUP(LEFT(F$1,4)*1-1&amp;"-"&amp;RIGHT(F$1,2),DATA!$D$1:$HT$52,MATCH($A9,DATA!$B:$B,0),FALSE)-1,3),0)</f>
        <v>0.05</v>
      </c>
      <c r="G9">
        <f>IFERROR(ROUND(HLOOKUP(LEFT(G$1,4)&amp;"-"&amp;RIGHT(G$1,2),DATA!$D$1:$HT$52,MATCH($A9,DATA!$B:$B,0),FALSE)/HLOOKUP(LEFT(G$1,4)*1-1&amp;"-"&amp;RIGHT(G$1,2),DATA!$D$1:$HT$52,MATCH($A9,DATA!$B:$B,0),FALSE)-1,3),0)</f>
        <v>5.7000000000000002E-2</v>
      </c>
      <c r="H9">
        <f>IFERROR(ROUND(HLOOKUP(LEFT(H$1,4)&amp;"-"&amp;RIGHT(H$1,2),DATA!$D$1:$HT$52,MATCH($A9,DATA!$B:$B,0),FALSE)/HLOOKUP(LEFT(H$1,4)*1-1&amp;"-"&amp;RIGHT(H$1,2),DATA!$D$1:$HT$52,MATCH($A9,DATA!$B:$B,0),FALSE)-1,3),0)</f>
        <v>1.4999999999999999E-2</v>
      </c>
      <c r="I9">
        <f>IFERROR(ROUND(HLOOKUP(LEFT(I$1,4)&amp;"-"&amp;RIGHT(I$1,2),DATA!$D$1:$HT$52,MATCH($A9,DATA!$B:$B,0),FALSE)/HLOOKUP(LEFT(I$1,4)*1-1&amp;"-"&amp;RIGHT(I$1,2),DATA!$D$1:$HT$52,MATCH($A9,DATA!$B:$B,0),FALSE)-1,3),0)</f>
        <v>-3.1E-2</v>
      </c>
      <c r="J9">
        <f>IFERROR(ROUND(HLOOKUP(LEFT(J$1,4)&amp;"-"&amp;RIGHT(J$1,2),DATA!$D$1:$HT$52,MATCH($A9,DATA!$B:$B,0),FALSE)/HLOOKUP(LEFT(J$1,4)*1-1&amp;"-"&amp;RIGHT(J$1,2),DATA!$D$1:$HT$52,MATCH($A9,DATA!$B:$B,0),FALSE)-1,3),0)</f>
        <v>-4.9000000000000002E-2</v>
      </c>
      <c r="K9">
        <f>IFERROR(ROUND(HLOOKUP(LEFT(K$1,4)&amp;"-"&amp;RIGHT(K$1,2),DATA!$D$1:$HT$52,MATCH($A9,DATA!$B:$B,0),FALSE)/HLOOKUP(LEFT(K$1,4)*1-1&amp;"-"&amp;RIGHT(K$1,2),DATA!$D$1:$HT$52,MATCH($A9,DATA!$B:$B,0),FALSE)-1,3),0)</f>
        <v>2.5000000000000001E-2</v>
      </c>
      <c r="L9">
        <f>IFERROR(ROUND(HLOOKUP(LEFT(L$1,4)&amp;"-"&amp;RIGHT(L$1,2),DATA!$D$1:$HT$52,MATCH($A9,DATA!$B:$B,0),FALSE)/HLOOKUP(LEFT(L$1,4)*1-1&amp;"-"&amp;RIGHT(L$1,2),DATA!$D$1:$HT$52,MATCH($A9,DATA!$B:$B,0),FALSE)-1,3),0)</f>
        <v>-0.11700000000000001</v>
      </c>
      <c r="M9">
        <f>IFERROR(ROUND(HLOOKUP(LEFT(M$1,4)&amp;"-"&amp;RIGHT(M$1,2),DATA!$D$1:$HT$52,MATCH($A9,DATA!$B:$B,0),FALSE)/HLOOKUP(LEFT(M$1,4)*1-1&amp;"-"&amp;RIGHT(M$1,2),DATA!$D$1:$HT$52,MATCH($A9,DATA!$B:$B,0),FALSE)-1,3),0)</f>
        <v>-5.5E-2</v>
      </c>
      <c r="N9">
        <f>IFERROR(ROUND(HLOOKUP(LEFT(N$1,4)&amp;"-"&amp;RIGHT(N$1,2),DATA!$D$1:$HT$52,MATCH($A9,DATA!$B:$B,0),FALSE)/HLOOKUP(LEFT(N$1,4)*1-1&amp;"-"&amp;RIGHT(N$1,2),DATA!$D$1:$HT$52,MATCH($A9,DATA!$B:$B,0),FALSE)-1,3),0)</f>
        <v>4.2000000000000003E-2</v>
      </c>
      <c r="O9">
        <f>IFERROR(ROUND(HLOOKUP(LEFT(O$1,4)&amp;"-"&amp;RIGHT(O$1,2),DATA!$D$1:$HT$52,MATCH($A9,DATA!$B:$B,0),FALSE)/HLOOKUP(LEFT(O$1,4)*1-1&amp;"-"&amp;RIGHT(O$1,2),DATA!$D$1:$HT$52,MATCH($A9,DATA!$B:$B,0),FALSE)-1,3),0)</f>
        <v>2.5999999999999999E-2</v>
      </c>
      <c r="P9">
        <f>IFERROR(ROUND(HLOOKUP(LEFT(P$1,4)&amp;"-"&amp;RIGHT(P$1,2),DATA!$D$1:$HT$52,MATCH($A9,DATA!$B:$B,0),FALSE)/HLOOKUP(LEFT(P$1,4)*1-1&amp;"-"&amp;RIGHT(P$1,2),DATA!$D$1:$HT$52,MATCH($A9,DATA!$B:$B,0),FALSE)-1,3),0)</f>
        <v>4.7E-2</v>
      </c>
      <c r="Q9">
        <f>IFERROR(ROUND(HLOOKUP(LEFT(Q$1,4)&amp;"-"&amp;RIGHT(Q$1,2),DATA!$D$1:$HT$52,MATCH($A9,DATA!$B:$B,0),FALSE)/HLOOKUP(LEFT(Q$1,4)*1-1&amp;"-"&amp;RIGHT(Q$1,2),DATA!$D$1:$HT$52,MATCH($A9,DATA!$B:$B,0),FALSE)-1,3),0)</f>
        <v>0.05</v>
      </c>
      <c r="R9">
        <f>IFERROR(ROUND(HLOOKUP(LEFT(R$1,4)&amp;"-"&amp;RIGHT(R$1,2),DATA!$D$1:$HT$52,MATCH($A9,DATA!$B:$B,0),FALSE)/HLOOKUP(LEFT(R$1,4)*1-1&amp;"-"&amp;RIGHT(R$1,2),DATA!$D$1:$HT$52,MATCH($A9,DATA!$B:$B,0),FALSE)-1,3),0)</f>
        <v>7.9000000000000001E-2</v>
      </c>
    </row>
    <row r="10" spans="1:18" x14ac:dyDescent="0.3">
      <c r="A10" t="s">
        <v>277</v>
      </c>
      <c r="B10">
        <f>IFERROR(ROUND(HLOOKUP(LEFT(B$1,4)&amp;"-"&amp;RIGHT(B$1,2),DATA!$D$1:$HT$52,MATCH($A10,DATA!$B:$B,0),FALSE)/HLOOKUP(LEFT(B$1,4)*1-1&amp;"-"&amp;RIGHT(B$1,2),DATA!$D$1:$HT$52,MATCH($A10,DATA!$B:$B,0),FALSE)-1,3),0)</f>
        <v>0.16900000000000001</v>
      </c>
      <c r="C10">
        <f>IFERROR(ROUND(HLOOKUP(LEFT(C$1,4)&amp;"-"&amp;RIGHT(C$1,2),DATA!$D$1:$HT$52,MATCH($A10,DATA!$B:$B,0),FALSE)/HLOOKUP(LEFT(C$1,4)*1-1&amp;"-"&amp;RIGHT(C$1,2),DATA!$D$1:$HT$52,MATCH($A10,DATA!$B:$B,0),FALSE)-1,3),0)</f>
        <v>0.23499999999999999</v>
      </c>
      <c r="D10">
        <f>IFERROR(ROUND(HLOOKUP(LEFT(D$1,4)&amp;"-"&amp;RIGHT(D$1,2),DATA!$D$1:$HT$52,MATCH($A10,DATA!$B:$B,0),FALSE)/HLOOKUP(LEFT(D$1,4)*1-1&amp;"-"&amp;RIGHT(D$1,2),DATA!$D$1:$HT$52,MATCH($A10,DATA!$B:$B,0),FALSE)-1,3),0)</f>
        <v>0.23899999999999999</v>
      </c>
      <c r="E10">
        <f>IFERROR(ROUND(HLOOKUP(LEFT(E$1,4)&amp;"-"&amp;RIGHT(E$1,2),DATA!$D$1:$HT$52,MATCH($A10,DATA!$B:$B,0),FALSE)/HLOOKUP(LEFT(E$1,4)*1-1&amp;"-"&amp;RIGHT(E$1,2),DATA!$D$1:$HT$52,MATCH($A10,DATA!$B:$B,0),FALSE)-1,3),0)</f>
        <v>0.253</v>
      </c>
      <c r="F10">
        <f>IFERROR(ROUND(HLOOKUP(LEFT(F$1,4)&amp;"-"&amp;RIGHT(F$1,2),DATA!$D$1:$HT$52,MATCH($A10,DATA!$B:$B,0),FALSE)/HLOOKUP(LEFT(F$1,4)*1-1&amp;"-"&amp;RIGHT(F$1,2),DATA!$D$1:$HT$52,MATCH($A10,DATA!$B:$B,0),FALSE)-1,3),0)</f>
        <v>0.14099999999999999</v>
      </c>
      <c r="G10">
        <f>IFERROR(ROUND(HLOOKUP(LEFT(G$1,4)&amp;"-"&amp;RIGHT(G$1,2),DATA!$D$1:$HT$52,MATCH($A10,DATA!$B:$B,0),FALSE)/HLOOKUP(LEFT(G$1,4)*1-1&amp;"-"&amp;RIGHT(G$1,2),DATA!$D$1:$HT$52,MATCH($A10,DATA!$B:$B,0),FALSE)-1,3),0)</f>
        <v>2.1999999999999999E-2</v>
      </c>
      <c r="H10">
        <f>IFERROR(ROUND(HLOOKUP(LEFT(H$1,4)&amp;"-"&amp;RIGHT(H$1,2),DATA!$D$1:$HT$52,MATCH($A10,DATA!$B:$B,0),FALSE)/HLOOKUP(LEFT(H$1,4)*1-1&amp;"-"&amp;RIGHT(H$1,2),DATA!$D$1:$HT$52,MATCH($A10,DATA!$B:$B,0),FALSE)-1,3),0)</f>
        <v>-6.0000000000000001E-3</v>
      </c>
      <c r="I10">
        <f>IFERROR(ROUND(HLOOKUP(LEFT(I$1,4)&amp;"-"&amp;RIGHT(I$1,2),DATA!$D$1:$HT$52,MATCH($A10,DATA!$B:$B,0),FALSE)/HLOOKUP(LEFT(I$1,4)*1-1&amp;"-"&amp;RIGHT(I$1,2),DATA!$D$1:$HT$52,MATCH($A10,DATA!$B:$B,0),FALSE)-1,3),0)</f>
        <v>-7.1999999999999995E-2</v>
      </c>
      <c r="J10">
        <f>IFERROR(ROUND(HLOOKUP(LEFT(J$1,4)&amp;"-"&amp;RIGHT(J$1,2),DATA!$D$1:$HT$52,MATCH($A10,DATA!$B:$B,0),FALSE)/HLOOKUP(LEFT(J$1,4)*1-1&amp;"-"&amp;RIGHT(J$1,2),DATA!$D$1:$HT$52,MATCH($A10,DATA!$B:$B,0),FALSE)-1,3),0)</f>
        <v>-4.2999999999999997E-2</v>
      </c>
      <c r="K10">
        <f>IFERROR(ROUND(HLOOKUP(LEFT(K$1,4)&amp;"-"&amp;RIGHT(K$1,2),DATA!$D$1:$HT$52,MATCH($A10,DATA!$B:$B,0),FALSE)/HLOOKUP(LEFT(K$1,4)*1-1&amp;"-"&amp;RIGHT(K$1,2),DATA!$D$1:$HT$52,MATCH($A10,DATA!$B:$B,0),FALSE)-1,3),0)</f>
        <v>8.0000000000000002E-3</v>
      </c>
      <c r="L10">
        <f>IFERROR(ROUND(HLOOKUP(LEFT(L$1,4)&amp;"-"&amp;RIGHT(L$1,2),DATA!$D$1:$HT$52,MATCH($A10,DATA!$B:$B,0),FALSE)/HLOOKUP(LEFT(L$1,4)*1-1&amp;"-"&amp;RIGHT(L$1,2),DATA!$D$1:$HT$52,MATCH($A10,DATA!$B:$B,0),FALSE)-1,3),0)</f>
        <v>-8.9999999999999993E-3</v>
      </c>
      <c r="M10">
        <f>IFERROR(ROUND(HLOOKUP(LEFT(M$1,4)&amp;"-"&amp;RIGHT(M$1,2),DATA!$D$1:$HT$52,MATCH($A10,DATA!$B:$B,0),FALSE)/HLOOKUP(LEFT(M$1,4)*1-1&amp;"-"&amp;RIGHT(M$1,2),DATA!$D$1:$HT$52,MATCH($A10,DATA!$B:$B,0),FALSE)-1,3),0)</f>
        <v>9.0999999999999998E-2</v>
      </c>
      <c r="N10">
        <f>IFERROR(ROUND(HLOOKUP(LEFT(N$1,4)&amp;"-"&amp;RIGHT(N$1,2),DATA!$D$1:$HT$52,MATCH($A10,DATA!$B:$B,0),FALSE)/HLOOKUP(LEFT(N$1,4)*1-1&amp;"-"&amp;RIGHT(N$1,2),DATA!$D$1:$HT$52,MATCH($A10,DATA!$B:$B,0),FALSE)-1,3),0)</f>
        <v>0.115</v>
      </c>
      <c r="O10">
        <f>IFERROR(ROUND(HLOOKUP(LEFT(O$1,4)&amp;"-"&amp;RIGHT(O$1,2),DATA!$D$1:$HT$52,MATCH($A10,DATA!$B:$B,0),FALSE)/HLOOKUP(LEFT(O$1,4)*1-1&amp;"-"&amp;RIGHT(O$1,2),DATA!$D$1:$HT$52,MATCH($A10,DATA!$B:$B,0),FALSE)-1,3),0)</f>
        <v>5.5E-2</v>
      </c>
      <c r="P10">
        <f>IFERROR(ROUND(HLOOKUP(LEFT(P$1,4)&amp;"-"&amp;RIGHT(P$1,2),DATA!$D$1:$HT$52,MATCH($A10,DATA!$B:$B,0),FALSE)/HLOOKUP(LEFT(P$1,4)*1-1&amp;"-"&amp;RIGHT(P$1,2),DATA!$D$1:$HT$52,MATCH($A10,DATA!$B:$B,0),FALSE)-1,3),0)</f>
        <v>6.7000000000000004E-2</v>
      </c>
      <c r="Q10">
        <f>IFERROR(ROUND(HLOOKUP(LEFT(Q$1,4)&amp;"-"&amp;RIGHT(Q$1,2),DATA!$D$1:$HT$52,MATCH($A10,DATA!$B:$B,0),FALSE)/HLOOKUP(LEFT(Q$1,4)*1-1&amp;"-"&amp;RIGHT(Q$1,2),DATA!$D$1:$HT$52,MATCH($A10,DATA!$B:$B,0),FALSE)-1,3),0)</f>
        <v>9.4E-2</v>
      </c>
      <c r="R10">
        <f>IFERROR(ROUND(HLOOKUP(LEFT(R$1,4)&amp;"-"&amp;RIGHT(R$1,2),DATA!$D$1:$HT$52,MATCH($A10,DATA!$B:$B,0),FALSE)/HLOOKUP(LEFT(R$1,4)*1-1&amp;"-"&amp;RIGHT(R$1,2),DATA!$D$1:$HT$52,MATCH($A10,DATA!$B:$B,0),FALSE)-1,3),0)</f>
        <v>3.7999999999999999E-2</v>
      </c>
    </row>
    <row r="11" spans="1:18" x14ac:dyDescent="0.3">
      <c r="A11" t="s">
        <v>231</v>
      </c>
      <c r="B11">
        <f>IFERROR(ROUND(HLOOKUP(LEFT(B$1,4)&amp;"-"&amp;RIGHT(B$1,2),DATA!$D$1:$HT$52,MATCH($A11,DATA!$B:$B,0),FALSE)/HLOOKUP(LEFT(B$1,4)*1-1&amp;"-"&amp;RIGHT(B$1,2),DATA!$D$1:$HT$52,MATCH($A11,DATA!$B:$B,0),FALSE)-1,3),0)</f>
        <v>0.127</v>
      </c>
      <c r="C11">
        <f>IFERROR(ROUND(HLOOKUP(LEFT(C$1,4)&amp;"-"&amp;RIGHT(C$1,2),DATA!$D$1:$HT$52,MATCH($A11,DATA!$B:$B,0),FALSE)/HLOOKUP(LEFT(C$1,4)*1-1&amp;"-"&amp;RIGHT(C$1,2),DATA!$D$1:$HT$52,MATCH($A11,DATA!$B:$B,0),FALSE)-1,3),0)</f>
        <v>9.4E-2</v>
      </c>
      <c r="D11">
        <f>IFERROR(ROUND(HLOOKUP(LEFT(D$1,4)&amp;"-"&amp;RIGHT(D$1,2),DATA!$D$1:$HT$52,MATCH($A11,DATA!$B:$B,0),FALSE)/HLOOKUP(LEFT(D$1,4)*1-1&amp;"-"&amp;RIGHT(D$1,2),DATA!$D$1:$HT$52,MATCH($A11,DATA!$B:$B,0),FALSE)-1,3),0)</f>
        <v>0.13200000000000001</v>
      </c>
      <c r="E11">
        <f>IFERROR(ROUND(HLOOKUP(LEFT(E$1,4)&amp;"-"&amp;RIGHT(E$1,2),DATA!$D$1:$HT$52,MATCH($A11,DATA!$B:$B,0),FALSE)/HLOOKUP(LEFT(E$1,4)*1-1&amp;"-"&amp;RIGHT(E$1,2),DATA!$D$1:$HT$52,MATCH($A11,DATA!$B:$B,0),FALSE)-1,3),0)</f>
        <v>0.222</v>
      </c>
      <c r="F11">
        <f>IFERROR(ROUND(HLOOKUP(LEFT(F$1,4)&amp;"-"&amp;RIGHT(F$1,2),DATA!$D$1:$HT$52,MATCH($A11,DATA!$B:$B,0),FALSE)/HLOOKUP(LEFT(F$1,4)*1-1&amp;"-"&amp;RIGHT(F$1,2),DATA!$D$1:$HT$52,MATCH($A11,DATA!$B:$B,0),FALSE)-1,3),0)</f>
        <v>0.30299999999999999</v>
      </c>
      <c r="G11">
        <f>IFERROR(ROUND(HLOOKUP(LEFT(G$1,4)&amp;"-"&amp;RIGHT(G$1,2),DATA!$D$1:$HT$52,MATCH($A11,DATA!$B:$B,0),FALSE)/HLOOKUP(LEFT(G$1,4)*1-1&amp;"-"&amp;RIGHT(G$1,2),DATA!$D$1:$HT$52,MATCH($A11,DATA!$B:$B,0),FALSE)-1,3),0)</f>
        <v>6.2E-2</v>
      </c>
      <c r="H11">
        <f>IFERROR(ROUND(HLOOKUP(LEFT(H$1,4)&amp;"-"&amp;RIGHT(H$1,2),DATA!$D$1:$HT$52,MATCH($A11,DATA!$B:$B,0),FALSE)/HLOOKUP(LEFT(H$1,4)*1-1&amp;"-"&amp;RIGHT(H$1,2),DATA!$D$1:$HT$52,MATCH($A11,DATA!$B:$B,0),FALSE)-1,3),0)</f>
        <v>-0.13200000000000001</v>
      </c>
      <c r="I11">
        <f>IFERROR(ROUND(HLOOKUP(LEFT(I$1,4)&amp;"-"&amp;RIGHT(I$1,2),DATA!$D$1:$HT$52,MATCH($A11,DATA!$B:$B,0),FALSE)/HLOOKUP(LEFT(I$1,4)*1-1&amp;"-"&amp;RIGHT(I$1,2),DATA!$D$1:$HT$52,MATCH($A11,DATA!$B:$B,0),FALSE)-1,3),0)</f>
        <v>-0.214</v>
      </c>
      <c r="J11">
        <f>IFERROR(ROUND(HLOOKUP(LEFT(J$1,4)&amp;"-"&amp;RIGHT(J$1,2),DATA!$D$1:$HT$52,MATCH($A11,DATA!$B:$B,0),FALSE)/HLOOKUP(LEFT(J$1,4)*1-1&amp;"-"&amp;RIGHT(J$1,2),DATA!$D$1:$HT$52,MATCH($A11,DATA!$B:$B,0),FALSE)-1,3),0)</f>
        <v>-0.17899999999999999</v>
      </c>
      <c r="K11">
        <f>IFERROR(ROUND(HLOOKUP(LEFT(K$1,4)&amp;"-"&amp;RIGHT(K$1,2),DATA!$D$1:$HT$52,MATCH($A11,DATA!$B:$B,0),FALSE)/HLOOKUP(LEFT(K$1,4)*1-1&amp;"-"&amp;RIGHT(K$1,2),DATA!$D$1:$HT$52,MATCH($A11,DATA!$B:$B,0),FALSE)-1,3),0)</f>
        <v>-8.5999999999999993E-2</v>
      </c>
      <c r="L11">
        <f>IFERROR(ROUND(HLOOKUP(LEFT(L$1,4)&amp;"-"&amp;RIGHT(L$1,2),DATA!$D$1:$HT$52,MATCH($A11,DATA!$B:$B,0),FALSE)/HLOOKUP(LEFT(L$1,4)*1-1&amp;"-"&amp;RIGHT(L$1,2),DATA!$D$1:$HT$52,MATCH($A11,DATA!$B:$B,0),FALSE)-1,3),0)</f>
        <v>-5.2999999999999999E-2</v>
      </c>
      <c r="M11">
        <f>IFERROR(ROUND(HLOOKUP(LEFT(M$1,4)&amp;"-"&amp;RIGHT(M$1,2),DATA!$D$1:$HT$52,MATCH($A11,DATA!$B:$B,0),FALSE)/HLOOKUP(LEFT(M$1,4)*1-1&amp;"-"&amp;RIGHT(M$1,2),DATA!$D$1:$HT$52,MATCH($A11,DATA!$B:$B,0),FALSE)-1,3),0)</f>
        <v>4.1000000000000002E-2</v>
      </c>
      <c r="N11">
        <f>IFERROR(ROUND(HLOOKUP(LEFT(N$1,4)&amp;"-"&amp;RIGHT(N$1,2),DATA!$D$1:$HT$52,MATCH($A11,DATA!$B:$B,0),FALSE)/HLOOKUP(LEFT(N$1,4)*1-1&amp;"-"&amp;RIGHT(N$1,2),DATA!$D$1:$HT$52,MATCH($A11,DATA!$B:$B,0),FALSE)-1,3),0)</f>
        <v>0.124</v>
      </c>
      <c r="O11">
        <f>IFERROR(ROUND(HLOOKUP(LEFT(O$1,4)&amp;"-"&amp;RIGHT(O$1,2),DATA!$D$1:$HT$52,MATCH($A11,DATA!$B:$B,0),FALSE)/HLOOKUP(LEFT(O$1,4)*1-1&amp;"-"&amp;RIGHT(O$1,2),DATA!$D$1:$HT$52,MATCH($A11,DATA!$B:$B,0),FALSE)-1,3),0)</f>
        <v>9.1999999999999998E-2</v>
      </c>
      <c r="P11">
        <f>IFERROR(ROUND(HLOOKUP(LEFT(P$1,4)&amp;"-"&amp;RIGHT(P$1,2),DATA!$D$1:$HT$52,MATCH($A11,DATA!$B:$B,0),FALSE)/HLOOKUP(LEFT(P$1,4)*1-1&amp;"-"&amp;RIGHT(P$1,2),DATA!$D$1:$HT$52,MATCH($A11,DATA!$B:$B,0),FALSE)-1,3),0)</f>
        <v>9.9000000000000005E-2</v>
      </c>
      <c r="Q11">
        <f>IFERROR(ROUND(HLOOKUP(LEFT(Q$1,4)&amp;"-"&amp;RIGHT(Q$1,2),DATA!$D$1:$HT$52,MATCH($A11,DATA!$B:$B,0),FALSE)/HLOOKUP(LEFT(Q$1,4)*1-1&amp;"-"&amp;RIGHT(Q$1,2),DATA!$D$1:$HT$52,MATCH($A11,DATA!$B:$B,0),FALSE)-1,3),0)</f>
        <v>0.125</v>
      </c>
      <c r="R11">
        <f>IFERROR(ROUND(HLOOKUP(LEFT(R$1,4)&amp;"-"&amp;RIGHT(R$1,2),DATA!$D$1:$HT$52,MATCH($A11,DATA!$B:$B,0),FALSE)/HLOOKUP(LEFT(R$1,4)*1-1&amp;"-"&amp;RIGHT(R$1,2),DATA!$D$1:$HT$52,MATCH($A11,DATA!$B:$B,0),FALSE)-1,3),0)</f>
        <v>9.6000000000000002E-2</v>
      </c>
    </row>
    <row r="12" spans="1:18" x14ac:dyDescent="0.3">
      <c r="A12" t="s">
        <v>236</v>
      </c>
      <c r="B12">
        <f>IFERROR(ROUND(HLOOKUP(LEFT(B$1,4)&amp;"-"&amp;RIGHT(B$1,2),DATA!$D$1:$HT$52,MATCH($A12,DATA!$B:$B,0),FALSE)/HLOOKUP(LEFT(B$1,4)*1-1&amp;"-"&amp;RIGHT(B$1,2),DATA!$D$1:$HT$52,MATCH($A12,DATA!$B:$B,0),FALSE)-1,3),0)</f>
        <v>0.06</v>
      </c>
      <c r="C12">
        <f>IFERROR(ROUND(HLOOKUP(LEFT(C$1,4)&amp;"-"&amp;RIGHT(C$1,2),DATA!$D$1:$HT$52,MATCH($A12,DATA!$B:$B,0),FALSE)/HLOOKUP(LEFT(C$1,4)*1-1&amp;"-"&amp;RIGHT(C$1,2),DATA!$D$1:$HT$52,MATCH($A12,DATA!$B:$B,0),FALSE)-1,3),0)</f>
        <v>5.1999999999999998E-2</v>
      </c>
      <c r="D12">
        <f>IFERROR(ROUND(HLOOKUP(LEFT(D$1,4)&amp;"-"&amp;RIGHT(D$1,2),DATA!$D$1:$HT$52,MATCH($A12,DATA!$B:$B,0),FALSE)/HLOOKUP(LEFT(D$1,4)*1-1&amp;"-"&amp;RIGHT(D$1,2),DATA!$D$1:$HT$52,MATCH($A12,DATA!$B:$B,0),FALSE)-1,3),0)</f>
        <v>2.9000000000000001E-2</v>
      </c>
      <c r="E12">
        <f>IFERROR(ROUND(HLOOKUP(LEFT(E$1,4)&amp;"-"&amp;RIGHT(E$1,2),DATA!$D$1:$HT$52,MATCH($A12,DATA!$B:$B,0),FALSE)/HLOOKUP(LEFT(E$1,4)*1-1&amp;"-"&amp;RIGHT(E$1,2),DATA!$D$1:$HT$52,MATCH($A12,DATA!$B:$B,0),FALSE)-1,3),0)</f>
        <v>5.3999999999999999E-2</v>
      </c>
      <c r="F12">
        <f>IFERROR(ROUND(HLOOKUP(LEFT(F$1,4)&amp;"-"&amp;RIGHT(F$1,2),DATA!$D$1:$HT$52,MATCH($A12,DATA!$B:$B,0),FALSE)/HLOOKUP(LEFT(F$1,4)*1-1&amp;"-"&amp;RIGHT(F$1,2),DATA!$D$1:$HT$52,MATCH($A12,DATA!$B:$B,0),FALSE)-1,3),0)</f>
        <v>3.7999999999999999E-2</v>
      </c>
      <c r="G12">
        <f>IFERROR(ROUND(HLOOKUP(LEFT(G$1,4)&amp;"-"&amp;RIGHT(G$1,2),DATA!$D$1:$HT$52,MATCH($A12,DATA!$B:$B,0),FALSE)/HLOOKUP(LEFT(G$1,4)*1-1&amp;"-"&amp;RIGHT(G$1,2),DATA!$D$1:$HT$52,MATCH($A12,DATA!$B:$B,0),FALSE)-1,3),0)</f>
        <v>4.3999999999999997E-2</v>
      </c>
      <c r="H12">
        <f>IFERROR(ROUND(HLOOKUP(LEFT(H$1,4)&amp;"-"&amp;RIGHT(H$1,2),DATA!$D$1:$HT$52,MATCH($A12,DATA!$B:$B,0),FALSE)/HLOOKUP(LEFT(H$1,4)*1-1&amp;"-"&amp;RIGHT(H$1,2),DATA!$D$1:$HT$52,MATCH($A12,DATA!$B:$B,0),FALSE)-1,3),0)</f>
        <v>-2E-3</v>
      </c>
      <c r="I12">
        <f>IFERROR(ROUND(HLOOKUP(LEFT(I$1,4)&amp;"-"&amp;RIGHT(I$1,2),DATA!$D$1:$HT$52,MATCH($A12,DATA!$B:$B,0),FALSE)/HLOOKUP(LEFT(I$1,4)*1-1&amp;"-"&amp;RIGHT(I$1,2),DATA!$D$1:$HT$52,MATCH($A12,DATA!$B:$B,0),FALSE)-1,3),0)</f>
        <v>-7.8E-2</v>
      </c>
      <c r="J12">
        <f>IFERROR(ROUND(HLOOKUP(LEFT(J$1,4)&amp;"-"&amp;RIGHT(J$1,2),DATA!$D$1:$HT$52,MATCH($A12,DATA!$B:$B,0),FALSE)/HLOOKUP(LEFT(J$1,4)*1-1&amp;"-"&amp;RIGHT(J$1,2),DATA!$D$1:$HT$52,MATCH($A12,DATA!$B:$B,0),FALSE)-1,3),0)</f>
        <v>-8.5999999999999993E-2</v>
      </c>
      <c r="K12">
        <f>IFERROR(ROUND(HLOOKUP(LEFT(K$1,4)&amp;"-"&amp;RIGHT(K$1,2),DATA!$D$1:$HT$52,MATCH($A12,DATA!$B:$B,0),FALSE)/HLOOKUP(LEFT(K$1,4)*1-1&amp;"-"&amp;RIGHT(K$1,2),DATA!$D$1:$HT$52,MATCH($A12,DATA!$B:$B,0),FALSE)-1,3),0)</f>
        <v>-7.4999999999999997E-2</v>
      </c>
      <c r="L12">
        <f>IFERROR(ROUND(HLOOKUP(LEFT(L$1,4)&amp;"-"&amp;RIGHT(L$1,2),DATA!$D$1:$HT$52,MATCH($A12,DATA!$B:$B,0),FALSE)/HLOOKUP(LEFT(L$1,4)*1-1&amp;"-"&amp;RIGHT(L$1,2),DATA!$D$1:$HT$52,MATCH($A12,DATA!$B:$B,0),FALSE)-1,3),0)</f>
        <v>-0.113</v>
      </c>
      <c r="M12">
        <f>IFERROR(ROUND(HLOOKUP(LEFT(M$1,4)&amp;"-"&amp;RIGHT(M$1,2),DATA!$D$1:$HT$52,MATCH($A12,DATA!$B:$B,0),FALSE)/HLOOKUP(LEFT(M$1,4)*1-1&amp;"-"&amp;RIGHT(M$1,2),DATA!$D$1:$HT$52,MATCH($A12,DATA!$B:$B,0),FALSE)-1,3),0)</f>
        <v>8.9999999999999993E-3</v>
      </c>
      <c r="N12">
        <f>IFERROR(ROUND(HLOOKUP(LEFT(N$1,4)&amp;"-"&amp;RIGHT(N$1,2),DATA!$D$1:$HT$52,MATCH($A12,DATA!$B:$B,0),FALSE)/HLOOKUP(LEFT(N$1,4)*1-1&amp;"-"&amp;RIGHT(N$1,2),DATA!$D$1:$HT$52,MATCH($A12,DATA!$B:$B,0),FALSE)-1,3),0)</f>
        <v>9.8000000000000004E-2</v>
      </c>
      <c r="O12">
        <f>IFERROR(ROUND(HLOOKUP(LEFT(O$1,4)&amp;"-"&amp;RIGHT(O$1,2),DATA!$D$1:$HT$52,MATCH($A12,DATA!$B:$B,0),FALSE)/HLOOKUP(LEFT(O$1,4)*1-1&amp;"-"&amp;RIGHT(O$1,2),DATA!$D$1:$HT$52,MATCH($A12,DATA!$B:$B,0),FALSE)-1,3),0)</f>
        <v>0.09</v>
      </c>
      <c r="P12">
        <f>IFERROR(ROUND(HLOOKUP(LEFT(P$1,4)&amp;"-"&amp;RIGHT(P$1,2),DATA!$D$1:$HT$52,MATCH($A12,DATA!$B:$B,0),FALSE)/HLOOKUP(LEFT(P$1,4)*1-1&amp;"-"&amp;RIGHT(P$1,2),DATA!$D$1:$HT$52,MATCH($A12,DATA!$B:$B,0),FALSE)-1,3),0)</f>
        <v>0.06</v>
      </c>
      <c r="Q12">
        <f>IFERROR(ROUND(HLOOKUP(LEFT(Q$1,4)&amp;"-"&amp;RIGHT(Q$1,2),DATA!$D$1:$HT$52,MATCH($A12,DATA!$B:$B,0),FALSE)/HLOOKUP(LEFT(Q$1,4)*1-1&amp;"-"&amp;RIGHT(Q$1,2),DATA!$D$1:$HT$52,MATCH($A12,DATA!$B:$B,0),FALSE)-1,3),0)</f>
        <v>8.3000000000000004E-2</v>
      </c>
      <c r="R12">
        <f>IFERROR(ROUND(HLOOKUP(LEFT(R$1,4)&amp;"-"&amp;RIGHT(R$1,2),DATA!$D$1:$HT$52,MATCH($A12,DATA!$B:$B,0),FALSE)/HLOOKUP(LEFT(R$1,4)*1-1&amp;"-"&amp;RIGHT(R$1,2),DATA!$D$1:$HT$52,MATCH($A12,DATA!$B:$B,0),FALSE)-1,3),0)</f>
        <v>7.8E-2</v>
      </c>
    </row>
    <row r="13" spans="1:18" x14ac:dyDescent="0.3">
      <c r="A13" t="s">
        <v>267</v>
      </c>
      <c r="B13">
        <f>IFERROR(ROUND(HLOOKUP(LEFT(B$1,4)&amp;"-"&amp;RIGHT(B$1,2),DATA!$D$1:$HT$52,MATCH($A13,DATA!$B:$B,0),FALSE)/HLOOKUP(LEFT(B$1,4)*1-1&amp;"-"&amp;RIGHT(B$1,2),DATA!$D$1:$HT$52,MATCH($A13,DATA!$B:$B,0),FALSE)-1,3),0)</f>
        <v>5.5E-2</v>
      </c>
      <c r="C13">
        <f>IFERROR(ROUND(HLOOKUP(LEFT(C$1,4)&amp;"-"&amp;RIGHT(C$1,2),DATA!$D$1:$HT$52,MATCH($A13,DATA!$B:$B,0),FALSE)/HLOOKUP(LEFT(C$1,4)*1-1&amp;"-"&amp;RIGHT(C$1,2),DATA!$D$1:$HT$52,MATCH($A13,DATA!$B:$B,0),FALSE)-1,3),0)</f>
        <v>0.11600000000000001</v>
      </c>
      <c r="D13">
        <f>IFERROR(ROUND(HLOOKUP(LEFT(D$1,4)&amp;"-"&amp;RIGHT(D$1,2),DATA!$D$1:$HT$52,MATCH($A13,DATA!$B:$B,0),FALSE)/HLOOKUP(LEFT(D$1,4)*1-1&amp;"-"&amp;RIGHT(D$1,2),DATA!$D$1:$HT$52,MATCH($A13,DATA!$B:$B,0),FALSE)-1,3),0)</f>
        <v>0.218</v>
      </c>
      <c r="E13">
        <f>IFERROR(ROUND(HLOOKUP(LEFT(E$1,4)&amp;"-"&amp;RIGHT(E$1,2),DATA!$D$1:$HT$52,MATCH($A13,DATA!$B:$B,0),FALSE)/HLOOKUP(LEFT(E$1,4)*1-1&amp;"-"&amp;RIGHT(E$1,2),DATA!$D$1:$HT$52,MATCH($A13,DATA!$B:$B,0),FALSE)-1,3),0)</f>
        <v>0.32200000000000001</v>
      </c>
      <c r="F13">
        <f>IFERROR(ROUND(HLOOKUP(LEFT(F$1,4)&amp;"-"&amp;RIGHT(F$1,2),DATA!$D$1:$HT$52,MATCH($A13,DATA!$B:$B,0),FALSE)/HLOOKUP(LEFT(F$1,4)*1-1&amp;"-"&amp;RIGHT(F$1,2),DATA!$D$1:$HT$52,MATCH($A13,DATA!$B:$B,0),FALSE)-1,3),0)</f>
        <v>0.23300000000000001</v>
      </c>
      <c r="G13">
        <f>IFERROR(ROUND(HLOOKUP(LEFT(G$1,4)&amp;"-"&amp;RIGHT(G$1,2),DATA!$D$1:$HT$52,MATCH($A13,DATA!$B:$B,0),FALSE)/HLOOKUP(LEFT(G$1,4)*1-1&amp;"-"&amp;RIGHT(G$1,2),DATA!$D$1:$HT$52,MATCH($A13,DATA!$B:$B,0),FALSE)-1,3),0)</f>
        <v>0.05</v>
      </c>
      <c r="H13">
        <f>IFERROR(ROUND(HLOOKUP(LEFT(H$1,4)&amp;"-"&amp;RIGHT(H$1,2),DATA!$D$1:$HT$52,MATCH($A13,DATA!$B:$B,0),FALSE)/HLOOKUP(LEFT(H$1,4)*1-1&amp;"-"&amp;RIGHT(H$1,2),DATA!$D$1:$HT$52,MATCH($A13,DATA!$B:$B,0),FALSE)-1,3),0)</f>
        <v>-3.1E-2</v>
      </c>
      <c r="I13">
        <f>IFERROR(ROUND(HLOOKUP(LEFT(I$1,4)&amp;"-"&amp;RIGHT(I$1,2),DATA!$D$1:$HT$52,MATCH($A13,DATA!$B:$B,0),FALSE)/HLOOKUP(LEFT(I$1,4)*1-1&amp;"-"&amp;RIGHT(I$1,2),DATA!$D$1:$HT$52,MATCH($A13,DATA!$B:$B,0),FALSE)-1,3),0)</f>
        <v>-0.10299999999999999</v>
      </c>
      <c r="J13">
        <f>IFERROR(ROUND(HLOOKUP(LEFT(J$1,4)&amp;"-"&amp;RIGHT(J$1,2),DATA!$D$1:$HT$52,MATCH($A13,DATA!$B:$B,0),FALSE)/HLOOKUP(LEFT(J$1,4)*1-1&amp;"-"&amp;RIGHT(J$1,2),DATA!$D$1:$HT$52,MATCH($A13,DATA!$B:$B,0),FALSE)-1,3),0)</f>
        <v>-9.0999999999999998E-2</v>
      </c>
      <c r="K13">
        <f>IFERROR(ROUND(HLOOKUP(LEFT(K$1,4)&amp;"-"&amp;RIGHT(K$1,2),DATA!$D$1:$HT$52,MATCH($A13,DATA!$B:$B,0),FALSE)/HLOOKUP(LEFT(K$1,4)*1-1&amp;"-"&amp;RIGHT(K$1,2),DATA!$D$1:$HT$52,MATCH($A13,DATA!$B:$B,0),FALSE)-1,3),0)</f>
        <v>-1.4E-2</v>
      </c>
      <c r="L13">
        <f>IFERROR(ROUND(HLOOKUP(LEFT(L$1,4)&amp;"-"&amp;RIGHT(L$1,2),DATA!$D$1:$HT$52,MATCH($A13,DATA!$B:$B,0),FALSE)/HLOOKUP(LEFT(L$1,4)*1-1&amp;"-"&amp;RIGHT(L$1,2),DATA!$D$1:$HT$52,MATCH($A13,DATA!$B:$B,0),FALSE)-1,3),0)</f>
        <v>-3.5000000000000003E-2</v>
      </c>
      <c r="M13">
        <f>IFERROR(ROUND(HLOOKUP(LEFT(M$1,4)&amp;"-"&amp;RIGHT(M$1,2),DATA!$D$1:$HT$52,MATCH($A13,DATA!$B:$B,0),FALSE)/HLOOKUP(LEFT(M$1,4)*1-1&amp;"-"&amp;RIGHT(M$1,2),DATA!$D$1:$HT$52,MATCH($A13,DATA!$B:$B,0),FALSE)-1,3),0)</f>
        <v>0.06</v>
      </c>
      <c r="N13">
        <f>IFERROR(ROUND(HLOOKUP(LEFT(N$1,4)&amp;"-"&amp;RIGHT(N$1,2),DATA!$D$1:$HT$52,MATCH($A13,DATA!$B:$B,0),FALSE)/HLOOKUP(LEFT(N$1,4)*1-1&amp;"-"&amp;RIGHT(N$1,2),DATA!$D$1:$HT$52,MATCH($A13,DATA!$B:$B,0),FALSE)-1,3),0)</f>
        <v>9.0999999999999998E-2</v>
      </c>
      <c r="O13">
        <f>IFERROR(ROUND(HLOOKUP(LEFT(O$1,4)&amp;"-"&amp;RIGHT(O$1,2),DATA!$D$1:$HT$52,MATCH($A13,DATA!$B:$B,0),FALSE)/HLOOKUP(LEFT(O$1,4)*1-1&amp;"-"&amp;RIGHT(O$1,2),DATA!$D$1:$HT$52,MATCH($A13,DATA!$B:$B,0),FALSE)-1,3),0)</f>
        <v>7.6999999999999999E-2</v>
      </c>
      <c r="P13">
        <f>IFERROR(ROUND(HLOOKUP(LEFT(P$1,4)&amp;"-"&amp;RIGHT(P$1,2),DATA!$D$1:$HT$52,MATCH($A13,DATA!$B:$B,0),FALSE)/HLOOKUP(LEFT(P$1,4)*1-1&amp;"-"&amp;RIGHT(P$1,2),DATA!$D$1:$HT$52,MATCH($A13,DATA!$B:$B,0),FALSE)-1,3),0)</f>
        <v>4.9000000000000002E-2</v>
      </c>
      <c r="Q13">
        <f>IFERROR(ROUND(HLOOKUP(LEFT(Q$1,4)&amp;"-"&amp;RIGHT(Q$1,2),DATA!$D$1:$HT$52,MATCH($A13,DATA!$B:$B,0),FALSE)/HLOOKUP(LEFT(Q$1,4)*1-1&amp;"-"&amp;RIGHT(Q$1,2),DATA!$D$1:$HT$52,MATCH($A13,DATA!$B:$B,0),FALSE)-1,3),0)</f>
        <v>0.08</v>
      </c>
      <c r="R13">
        <f>IFERROR(ROUND(HLOOKUP(LEFT(R$1,4)&amp;"-"&amp;RIGHT(R$1,2),DATA!$D$1:$HT$52,MATCH($A13,DATA!$B:$B,0),FALSE)/HLOOKUP(LEFT(R$1,4)*1-1&amp;"-"&amp;RIGHT(R$1,2),DATA!$D$1:$HT$52,MATCH($A13,DATA!$B:$B,0),FALSE)-1,3),0)</f>
        <v>3.9E-2</v>
      </c>
    </row>
    <row r="14" spans="1:18" x14ac:dyDescent="0.3">
      <c r="A14" t="s">
        <v>266</v>
      </c>
      <c r="B14">
        <f>IFERROR(ROUND(HLOOKUP(LEFT(B$1,4)&amp;"-"&amp;RIGHT(B$1,2),DATA!$D$1:$HT$52,MATCH($A14,DATA!$B:$B,0),FALSE)/HLOOKUP(LEFT(B$1,4)*1-1&amp;"-"&amp;RIGHT(B$1,2),DATA!$D$1:$HT$52,MATCH($A14,DATA!$B:$B,0),FALSE)-1,3),0)</f>
        <v>-8.0000000000000002E-3</v>
      </c>
      <c r="C14">
        <f>IFERROR(ROUND(HLOOKUP(LEFT(C$1,4)&amp;"-"&amp;RIGHT(C$1,2),DATA!$D$1:$HT$52,MATCH($A14,DATA!$B:$B,0),FALSE)/HLOOKUP(LEFT(C$1,4)*1-1&amp;"-"&amp;RIGHT(C$1,2),DATA!$D$1:$HT$52,MATCH($A14,DATA!$B:$B,0),FALSE)-1,3),0)</f>
        <v>2.8000000000000001E-2</v>
      </c>
      <c r="D14">
        <f>IFERROR(ROUND(HLOOKUP(LEFT(D$1,4)&amp;"-"&amp;RIGHT(D$1,2),DATA!$D$1:$HT$52,MATCH($A14,DATA!$B:$B,0),FALSE)/HLOOKUP(LEFT(D$1,4)*1-1&amp;"-"&amp;RIGHT(D$1,2),DATA!$D$1:$HT$52,MATCH($A14,DATA!$B:$B,0),FALSE)-1,3),0)</f>
        <v>3.7999999999999999E-2</v>
      </c>
      <c r="E14">
        <f>IFERROR(ROUND(HLOOKUP(LEFT(E$1,4)&amp;"-"&amp;RIGHT(E$1,2),DATA!$D$1:$HT$52,MATCH($A14,DATA!$B:$B,0),FALSE)/HLOOKUP(LEFT(E$1,4)*1-1&amp;"-"&amp;RIGHT(E$1,2),DATA!$D$1:$HT$52,MATCH($A14,DATA!$B:$B,0),FALSE)-1,3),0)</f>
        <v>7.6999999999999999E-2</v>
      </c>
      <c r="F14">
        <f>IFERROR(ROUND(HLOOKUP(LEFT(F$1,4)&amp;"-"&amp;RIGHT(F$1,2),DATA!$D$1:$HT$52,MATCH($A14,DATA!$B:$B,0),FALSE)/HLOOKUP(LEFT(F$1,4)*1-1&amp;"-"&amp;RIGHT(F$1,2),DATA!$D$1:$HT$52,MATCH($A14,DATA!$B:$B,0),FALSE)-1,3),0)</f>
        <v>0.17100000000000001</v>
      </c>
      <c r="G14">
        <f>IFERROR(ROUND(HLOOKUP(LEFT(G$1,4)&amp;"-"&amp;RIGHT(G$1,2),DATA!$D$1:$HT$52,MATCH($A14,DATA!$B:$B,0),FALSE)/HLOOKUP(LEFT(G$1,4)*1-1&amp;"-"&amp;RIGHT(G$1,2),DATA!$D$1:$HT$52,MATCH($A14,DATA!$B:$B,0),FALSE)-1,3),0)</f>
        <v>0.13500000000000001</v>
      </c>
      <c r="H14">
        <f>IFERROR(ROUND(HLOOKUP(LEFT(H$1,4)&amp;"-"&amp;RIGHT(H$1,2),DATA!$D$1:$HT$52,MATCH($A14,DATA!$B:$B,0),FALSE)/HLOOKUP(LEFT(H$1,4)*1-1&amp;"-"&amp;RIGHT(H$1,2),DATA!$D$1:$HT$52,MATCH($A14,DATA!$B:$B,0),FALSE)-1,3),0)</f>
        <v>1.4E-2</v>
      </c>
      <c r="I14">
        <f>IFERROR(ROUND(HLOOKUP(LEFT(I$1,4)&amp;"-"&amp;RIGHT(I$1,2),DATA!$D$1:$HT$52,MATCH($A14,DATA!$B:$B,0),FALSE)/HLOOKUP(LEFT(I$1,4)*1-1&amp;"-"&amp;RIGHT(I$1,2),DATA!$D$1:$HT$52,MATCH($A14,DATA!$B:$B,0),FALSE)-1,3),0)</f>
        <v>-5.8000000000000003E-2</v>
      </c>
      <c r="J14">
        <f>IFERROR(ROUND(HLOOKUP(LEFT(J$1,4)&amp;"-"&amp;RIGHT(J$1,2),DATA!$D$1:$HT$52,MATCH($A14,DATA!$B:$B,0),FALSE)/HLOOKUP(LEFT(J$1,4)*1-1&amp;"-"&amp;RIGHT(J$1,2),DATA!$D$1:$HT$52,MATCH($A14,DATA!$B:$B,0),FALSE)-1,3),0)</f>
        <v>-8.4000000000000005E-2</v>
      </c>
      <c r="K14">
        <f>IFERROR(ROUND(HLOOKUP(LEFT(K$1,4)&amp;"-"&amp;RIGHT(K$1,2),DATA!$D$1:$HT$52,MATCH($A14,DATA!$B:$B,0),FALSE)/HLOOKUP(LEFT(K$1,4)*1-1&amp;"-"&amp;RIGHT(K$1,2),DATA!$D$1:$HT$52,MATCH($A14,DATA!$B:$B,0),FALSE)-1,3),0)</f>
        <v>-8.6999999999999994E-2</v>
      </c>
      <c r="L14">
        <f>IFERROR(ROUND(HLOOKUP(LEFT(L$1,4)&amp;"-"&amp;RIGHT(L$1,2),DATA!$D$1:$HT$52,MATCH($A14,DATA!$B:$B,0),FALSE)/HLOOKUP(LEFT(L$1,4)*1-1&amp;"-"&amp;RIGHT(L$1,2),DATA!$D$1:$HT$52,MATCH($A14,DATA!$B:$B,0),FALSE)-1,3),0)</f>
        <v>-0.06</v>
      </c>
      <c r="M14">
        <f>IFERROR(ROUND(HLOOKUP(LEFT(M$1,4)&amp;"-"&amp;RIGHT(M$1,2),DATA!$D$1:$HT$52,MATCH($A14,DATA!$B:$B,0),FALSE)/HLOOKUP(LEFT(M$1,4)*1-1&amp;"-"&amp;RIGHT(M$1,2),DATA!$D$1:$HT$52,MATCH($A14,DATA!$B:$B,0),FALSE)-1,3),0)</f>
        <v>4.5999999999999999E-2</v>
      </c>
      <c r="N14">
        <f>IFERROR(ROUND(HLOOKUP(LEFT(N$1,4)&amp;"-"&amp;RIGHT(N$1,2),DATA!$D$1:$HT$52,MATCH($A14,DATA!$B:$B,0),FALSE)/HLOOKUP(LEFT(N$1,4)*1-1&amp;"-"&amp;RIGHT(N$1,2),DATA!$D$1:$HT$52,MATCH($A14,DATA!$B:$B,0),FALSE)-1,3),0)</f>
        <v>9.7000000000000003E-2</v>
      </c>
      <c r="O14">
        <f>IFERROR(ROUND(HLOOKUP(LEFT(O$1,4)&amp;"-"&amp;RIGHT(O$1,2),DATA!$D$1:$HT$52,MATCH($A14,DATA!$B:$B,0),FALSE)/HLOOKUP(LEFT(O$1,4)*1-1&amp;"-"&amp;RIGHT(O$1,2),DATA!$D$1:$HT$52,MATCH($A14,DATA!$B:$B,0),FALSE)-1,3),0)</f>
        <v>5.6000000000000001E-2</v>
      </c>
      <c r="P14">
        <f>IFERROR(ROUND(HLOOKUP(LEFT(P$1,4)&amp;"-"&amp;RIGHT(P$1,2),DATA!$D$1:$HT$52,MATCH($A14,DATA!$B:$B,0),FALSE)/HLOOKUP(LEFT(P$1,4)*1-1&amp;"-"&amp;RIGHT(P$1,2),DATA!$D$1:$HT$52,MATCH($A14,DATA!$B:$B,0),FALSE)-1,3),0)</f>
        <v>6.3E-2</v>
      </c>
      <c r="Q14">
        <f>IFERROR(ROUND(HLOOKUP(LEFT(Q$1,4)&amp;"-"&amp;RIGHT(Q$1,2),DATA!$D$1:$HT$52,MATCH($A14,DATA!$B:$B,0),FALSE)/HLOOKUP(LEFT(Q$1,4)*1-1&amp;"-"&amp;RIGHT(Q$1,2),DATA!$D$1:$HT$52,MATCH($A14,DATA!$B:$B,0),FALSE)-1,3),0)</f>
        <v>8.5000000000000006E-2</v>
      </c>
      <c r="R14">
        <f>IFERROR(ROUND(HLOOKUP(LEFT(R$1,4)&amp;"-"&amp;RIGHT(R$1,2),DATA!$D$1:$HT$52,MATCH($A14,DATA!$B:$B,0),FALSE)/HLOOKUP(LEFT(R$1,4)*1-1&amp;"-"&amp;RIGHT(R$1,2),DATA!$D$1:$HT$52,MATCH($A14,DATA!$B:$B,0),FALSE)-1,3),0)</f>
        <v>0.106</v>
      </c>
    </row>
    <row r="15" spans="1:18" x14ac:dyDescent="0.3">
      <c r="A15" t="s">
        <v>232</v>
      </c>
      <c r="B15">
        <f>IFERROR(ROUND(HLOOKUP(LEFT(B$1,4)&amp;"-"&amp;RIGHT(B$1,2),DATA!$D$1:$HT$52,MATCH($A15,DATA!$B:$B,0),FALSE)/HLOOKUP(LEFT(B$1,4)*1-1&amp;"-"&amp;RIGHT(B$1,2),DATA!$D$1:$HT$52,MATCH($A15,DATA!$B:$B,0),FALSE)-1,3),0)</f>
        <v>7.2999999999999995E-2</v>
      </c>
      <c r="C15">
        <f>IFERROR(ROUND(HLOOKUP(LEFT(C$1,4)&amp;"-"&amp;RIGHT(C$1,2),DATA!$D$1:$HT$52,MATCH($A15,DATA!$B:$B,0),FALSE)/HLOOKUP(LEFT(C$1,4)*1-1&amp;"-"&amp;RIGHT(C$1,2),DATA!$D$1:$HT$52,MATCH($A15,DATA!$B:$B,0),FALSE)-1,3),0)</f>
        <v>6.5000000000000002E-2</v>
      </c>
      <c r="D15">
        <f>IFERROR(ROUND(HLOOKUP(LEFT(D$1,4)&amp;"-"&amp;RIGHT(D$1,2),DATA!$D$1:$HT$52,MATCH($A15,DATA!$B:$B,0),FALSE)/HLOOKUP(LEFT(D$1,4)*1-1&amp;"-"&amp;RIGHT(D$1,2),DATA!$D$1:$HT$52,MATCH($A15,DATA!$B:$B,0),FALSE)-1,3),0)</f>
        <v>5.8999999999999997E-2</v>
      </c>
      <c r="E15">
        <f>IFERROR(ROUND(HLOOKUP(LEFT(E$1,4)&amp;"-"&amp;RIGHT(E$1,2),DATA!$D$1:$HT$52,MATCH($A15,DATA!$B:$B,0),FALSE)/HLOOKUP(LEFT(E$1,4)*1-1&amp;"-"&amp;RIGHT(E$1,2),DATA!$D$1:$HT$52,MATCH($A15,DATA!$B:$B,0),FALSE)-1,3),0)</f>
        <v>7.6999999999999999E-2</v>
      </c>
      <c r="F15">
        <f>IFERROR(ROUND(HLOOKUP(LEFT(F$1,4)&amp;"-"&amp;RIGHT(F$1,2),DATA!$D$1:$HT$52,MATCH($A15,DATA!$B:$B,0),FALSE)/HLOOKUP(LEFT(F$1,4)*1-1&amp;"-"&amp;RIGHT(F$1,2),DATA!$D$1:$HT$52,MATCH($A15,DATA!$B:$B,0),FALSE)-1,3),0)</f>
        <v>7.8E-2</v>
      </c>
      <c r="G15">
        <f>IFERROR(ROUND(HLOOKUP(LEFT(G$1,4)&amp;"-"&amp;RIGHT(G$1,2),DATA!$D$1:$HT$52,MATCH($A15,DATA!$B:$B,0),FALSE)/HLOOKUP(LEFT(G$1,4)*1-1&amp;"-"&amp;RIGHT(G$1,2),DATA!$D$1:$HT$52,MATCH($A15,DATA!$B:$B,0),FALSE)-1,3),0)</f>
        <v>4.3999999999999997E-2</v>
      </c>
      <c r="H15">
        <f>IFERROR(ROUND(HLOOKUP(LEFT(H$1,4)&amp;"-"&amp;RIGHT(H$1,2),DATA!$D$1:$HT$52,MATCH($A15,DATA!$B:$B,0),FALSE)/HLOOKUP(LEFT(H$1,4)*1-1&amp;"-"&amp;RIGHT(H$1,2),DATA!$D$1:$HT$52,MATCH($A15,DATA!$B:$B,0),FALSE)-1,3),0)</f>
        <v>-1.9E-2</v>
      </c>
      <c r="I15">
        <f>IFERROR(ROUND(HLOOKUP(LEFT(I$1,4)&amp;"-"&amp;RIGHT(I$1,2),DATA!$D$1:$HT$52,MATCH($A15,DATA!$B:$B,0),FALSE)/HLOOKUP(LEFT(I$1,4)*1-1&amp;"-"&amp;RIGHT(I$1,2),DATA!$D$1:$HT$52,MATCH($A15,DATA!$B:$B,0),FALSE)-1,3),0)</f>
        <v>-9.0999999999999998E-2</v>
      </c>
      <c r="J15">
        <f>IFERROR(ROUND(HLOOKUP(LEFT(J$1,4)&amp;"-"&amp;RIGHT(J$1,2),DATA!$D$1:$HT$52,MATCH($A15,DATA!$B:$B,0),FALSE)/HLOOKUP(LEFT(J$1,4)*1-1&amp;"-"&amp;RIGHT(J$1,2),DATA!$D$1:$HT$52,MATCH($A15,DATA!$B:$B,0),FALSE)-1,3),0)</f>
        <v>-0.10299999999999999</v>
      </c>
      <c r="K15">
        <f>IFERROR(ROUND(HLOOKUP(LEFT(K$1,4)&amp;"-"&amp;RIGHT(K$1,2),DATA!$D$1:$HT$52,MATCH($A15,DATA!$B:$B,0),FALSE)/HLOOKUP(LEFT(K$1,4)*1-1&amp;"-"&amp;RIGHT(K$1,2),DATA!$D$1:$HT$52,MATCH($A15,DATA!$B:$B,0),FALSE)-1,3),0)</f>
        <v>-7.5999999999999998E-2</v>
      </c>
      <c r="L15">
        <f>IFERROR(ROUND(HLOOKUP(LEFT(L$1,4)&amp;"-"&amp;RIGHT(L$1,2),DATA!$D$1:$HT$52,MATCH($A15,DATA!$B:$B,0),FALSE)/HLOOKUP(LEFT(L$1,4)*1-1&amp;"-"&amp;RIGHT(L$1,2),DATA!$D$1:$HT$52,MATCH($A15,DATA!$B:$B,0),FALSE)-1,3),0)</f>
        <v>-8.8999999999999996E-2</v>
      </c>
      <c r="M15">
        <f>IFERROR(ROUND(HLOOKUP(LEFT(M$1,4)&amp;"-"&amp;RIGHT(M$1,2),DATA!$D$1:$HT$52,MATCH($A15,DATA!$B:$B,0),FALSE)/HLOOKUP(LEFT(M$1,4)*1-1&amp;"-"&amp;RIGHT(M$1,2),DATA!$D$1:$HT$52,MATCH($A15,DATA!$B:$B,0),FALSE)-1,3),0)</f>
        <v>-1.2E-2</v>
      </c>
      <c r="N15">
        <f>IFERROR(ROUND(HLOOKUP(LEFT(N$1,4)&amp;"-"&amp;RIGHT(N$1,2),DATA!$D$1:$HT$52,MATCH($A15,DATA!$B:$B,0),FALSE)/HLOOKUP(LEFT(N$1,4)*1-1&amp;"-"&amp;RIGHT(N$1,2),DATA!$D$1:$HT$52,MATCH($A15,DATA!$B:$B,0),FALSE)-1,3),0)</f>
        <v>0.05</v>
      </c>
      <c r="O15">
        <f>IFERROR(ROUND(HLOOKUP(LEFT(O$1,4)&amp;"-"&amp;RIGHT(O$1,2),DATA!$D$1:$HT$52,MATCH($A15,DATA!$B:$B,0),FALSE)/HLOOKUP(LEFT(O$1,4)*1-1&amp;"-"&amp;RIGHT(O$1,2),DATA!$D$1:$HT$52,MATCH($A15,DATA!$B:$B,0),FALSE)-1,3),0)</f>
        <v>5.0999999999999997E-2</v>
      </c>
      <c r="P15">
        <f>IFERROR(ROUND(HLOOKUP(LEFT(P$1,4)&amp;"-"&amp;RIGHT(P$1,2),DATA!$D$1:$HT$52,MATCH($A15,DATA!$B:$B,0),FALSE)/HLOOKUP(LEFT(P$1,4)*1-1&amp;"-"&amp;RIGHT(P$1,2),DATA!$D$1:$HT$52,MATCH($A15,DATA!$B:$B,0),FALSE)-1,3),0)</f>
        <v>4.4999999999999998E-2</v>
      </c>
      <c r="Q15">
        <f>IFERROR(ROUND(HLOOKUP(LEFT(Q$1,4)&amp;"-"&amp;RIGHT(Q$1,2),DATA!$D$1:$HT$52,MATCH($A15,DATA!$B:$B,0),FALSE)/HLOOKUP(LEFT(Q$1,4)*1-1&amp;"-"&amp;RIGHT(Q$1,2),DATA!$D$1:$HT$52,MATCH($A15,DATA!$B:$B,0),FALSE)-1,3),0)</f>
        <v>4.5999999999999999E-2</v>
      </c>
      <c r="R15">
        <f>IFERROR(ROUND(HLOOKUP(LEFT(R$1,4)&amp;"-"&amp;RIGHT(R$1,2),DATA!$D$1:$HT$52,MATCH($A15,DATA!$B:$B,0),FALSE)/HLOOKUP(LEFT(R$1,4)*1-1&amp;"-"&amp;RIGHT(R$1,2),DATA!$D$1:$HT$52,MATCH($A15,DATA!$B:$B,0),FALSE)-1,3),0)</f>
        <v>0.05</v>
      </c>
    </row>
    <row r="16" spans="1:18" x14ac:dyDescent="0.3">
      <c r="A16" t="s">
        <v>242</v>
      </c>
      <c r="B16">
        <f>IFERROR(ROUND(HLOOKUP(LEFT(B$1,4)&amp;"-"&amp;RIGHT(B$1,2),DATA!$D$1:$HT$52,MATCH($A16,DATA!$B:$B,0),FALSE)/HLOOKUP(LEFT(B$1,4)*1-1&amp;"-"&amp;RIGHT(B$1,2),DATA!$D$1:$HT$52,MATCH($A16,DATA!$B:$B,0),FALSE)-1,3),0)</f>
        <v>7.3999999999999996E-2</v>
      </c>
      <c r="C16">
        <f>IFERROR(ROUND(HLOOKUP(LEFT(C$1,4)&amp;"-"&amp;RIGHT(C$1,2),DATA!$D$1:$HT$52,MATCH($A16,DATA!$B:$B,0),FALSE)/HLOOKUP(LEFT(C$1,4)*1-1&amp;"-"&amp;RIGHT(C$1,2),DATA!$D$1:$HT$52,MATCH($A16,DATA!$B:$B,0),FALSE)-1,3),0)</f>
        <v>1E-3</v>
      </c>
      <c r="D16">
        <f>IFERROR(ROUND(HLOOKUP(LEFT(D$1,4)&amp;"-"&amp;RIGHT(D$1,2),DATA!$D$1:$HT$52,MATCH($A16,DATA!$B:$B,0),FALSE)/HLOOKUP(LEFT(D$1,4)*1-1&amp;"-"&amp;RIGHT(D$1,2),DATA!$D$1:$HT$52,MATCH($A16,DATA!$B:$B,0),FALSE)-1,3),0)</f>
        <v>2E-3</v>
      </c>
      <c r="E16">
        <f>IFERROR(ROUND(HLOOKUP(LEFT(E$1,4)&amp;"-"&amp;RIGHT(E$1,2),DATA!$D$1:$HT$52,MATCH($A16,DATA!$B:$B,0),FALSE)/HLOOKUP(LEFT(E$1,4)*1-1&amp;"-"&amp;RIGHT(E$1,2),DATA!$D$1:$HT$52,MATCH($A16,DATA!$B:$B,0),FALSE)-1,3),0)</f>
        <v>3.5999999999999997E-2</v>
      </c>
      <c r="F16">
        <f>IFERROR(ROUND(HLOOKUP(LEFT(F$1,4)&amp;"-"&amp;RIGHT(F$1,2),DATA!$D$1:$HT$52,MATCH($A16,DATA!$B:$B,0),FALSE)/HLOOKUP(LEFT(F$1,4)*1-1&amp;"-"&amp;RIGHT(F$1,2),DATA!$D$1:$HT$52,MATCH($A16,DATA!$B:$B,0),FALSE)-1,3),0)</f>
        <v>6.8000000000000005E-2</v>
      </c>
      <c r="G16">
        <f>IFERROR(ROUND(HLOOKUP(LEFT(G$1,4)&amp;"-"&amp;RIGHT(G$1,2),DATA!$D$1:$HT$52,MATCH($A16,DATA!$B:$B,0),FALSE)/HLOOKUP(LEFT(G$1,4)*1-1&amp;"-"&amp;RIGHT(G$1,2),DATA!$D$1:$HT$52,MATCH($A16,DATA!$B:$B,0),FALSE)-1,3),0)</f>
        <v>2.4E-2</v>
      </c>
      <c r="H16">
        <f>IFERROR(ROUND(HLOOKUP(LEFT(H$1,4)&amp;"-"&amp;RIGHT(H$1,2),DATA!$D$1:$HT$52,MATCH($A16,DATA!$B:$B,0),FALSE)/HLOOKUP(LEFT(H$1,4)*1-1&amp;"-"&amp;RIGHT(H$1,2),DATA!$D$1:$HT$52,MATCH($A16,DATA!$B:$B,0),FALSE)-1,3),0)</f>
        <v>3.0000000000000001E-3</v>
      </c>
      <c r="I16">
        <f>IFERROR(ROUND(HLOOKUP(LEFT(I$1,4)&amp;"-"&amp;RIGHT(I$1,2),DATA!$D$1:$HT$52,MATCH($A16,DATA!$B:$B,0),FALSE)/HLOOKUP(LEFT(I$1,4)*1-1&amp;"-"&amp;RIGHT(I$1,2),DATA!$D$1:$HT$52,MATCH($A16,DATA!$B:$B,0),FALSE)-1,3),0)</f>
        <v>-3.5000000000000003E-2</v>
      </c>
      <c r="J16">
        <f>IFERROR(ROUND(HLOOKUP(LEFT(J$1,4)&amp;"-"&amp;RIGHT(J$1,2),DATA!$D$1:$HT$52,MATCH($A16,DATA!$B:$B,0),FALSE)/HLOOKUP(LEFT(J$1,4)*1-1&amp;"-"&amp;RIGHT(J$1,2),DATA!$D$1:$HT$52,MATCH($A16,DATA!$B:$B,0),FALSE)-1,3),0)</f>
        <v>-5.0999999999999997E-2</v>
      </c>
      <c r="K16">
        <f>IFERROR(ROUND(HLOOKUP(LEFT(K$1,4)&amp;"-"&amp;RIGHT(K$1,2),DATA!$D$1:$HT$52,MATCH($A16,DATA!$B:$B,0),FALSE)/HLOOKUP(LEFT(K$1,4)*1-1&amp;"-"&amp;RIGHT(K$1,2),DATA!$D$1:$HT$52,MATCH($A16,DATA!$B:$B,0),FALSE)-1,3),0)</f>
        <v>0</v>
      </c>
      <c r="L16">
        <f>IFERROR(ROUND(HLOOKUP(LEFT(L$1,4)&amp;"-"&amp;RIGHT(L$1,2),DATA!$D$1:$HT$52,MATCH($A16,DATA!$B:$B,0),FALSE)/HLOOKUP(LEFT(L$1,4)*1-1&amp;"-"&amp;RIGHT(L$1,2),DATA!$D$1:$HT$52,MATCH($A16,DATA!$B:$B,0),FALSE)-1,3),0)</f>
        <v>-3.4000000000000002E-2</v>
      </c>
      <c r="M16">
        <f>IFERROR(ROUND(HLOOKUP(LEFT(M$1,4)&amp;"-"&amp;RIGHT(M$1,2),DATA!$D$1:$HT$52,MATCH($A16,DATA!$B:$B,0),FALSE)/HLOOKUP(LEFT(M$1,4)*1-1&amp;"-"&amp;RIGHT(M$1,2),DATA!$D$1:$HT$52,MATCH($A16,DATA!$B:$B,0),FALSE)-1,3),0)</f>
        <v>1.0999999999999999E-2</v>
      </c>
      <c r="N16">
        <f>IFERROR(ROUND(HLOOKUP(LEFT(N$1,4)&amp;"-"&amp;RIGHT(N$1,2),DATA!$D$1:$HT$52,MATCH($A16,DATA!$B:$B,0),FALSE)/HLOOKUP(LEFT(N$1,4)*1-1&amp;"-"&amp;RIGHT(N$1,2),DATA!$D$1:$HT$52,MATCH($A16,DATA!$B:$B,0),FALSE)-1,3),0)</f>
        <v>-8.9999999999999993E-3</v>
      </c>
      <c r="O16">
        <f>IFERROR(ROUND(HLOOKUP(LEFT(O$1,4)&amp;"-"&amp;RIGHT(O$1,2),DATA!$D$1:$HT$52,MATCH($A16,DATA!$B:$B,0),FALSE)/HLOOKUP(LEFT(O$1,4)*1-1&amp;"-"&amp;RIGHT(O$1,2),DATA!$D$1:$HT$52,MATCH($A16,DATA!$B:$B,0),FALSE)-1,3),0)</f>
        <v>3.5000000000000003E-2</v>
      </c>
      <c r="P16">
        <f>IFERROR(ROUND(HLOOKUP(LEFT(P$1,4)&amp;"-"&amp;RIGHT(P$1,2),DATA!$D$1:$HT$52,MATCH($A16,DATA!$B:$B,0),FALSE)/HLOOKUP(LEFT(P$1,4)*1-1&amp;"-"&amp;RIGHT(P$1,2),DATA!$D$1:$HT$52,MATCH($A16,DATA!$B:$B,0),FALSE)-1,3),0)</f>
        <v>3.5999999999999997E-2</v>
      </c>
      <c r="Q16">
        <f>IFERROR(ROUND(HLOOKUP(LEFT(Q$1,4)&amp;"-"&amp;RIGHT(Q$1,2),DATA!$D$1:$HT$52,MATCH($A16,DATA!$B:$B,0),FALSE)/HLOOKUP(LEFT(Q$1,4)*1-1&amp;"-"&amp;RIGHT(Q$1,2),DATA!$D$1:$HT$52,MATCH($A16,DATA!$B:$B,0),FALSE)-1,3),0)</f>
        <v>7.0999999999999994E-2</v>
      </c>
      <c r="R16">
        <f>IFERROR(ROUND(HLOOKUP(LEFT(R$1,4)&amp;"-"&amp;RIGHT(R$1,2),DATA!$D$1:$HT$52,MATCH($A16,DATA!$B:$B,0),FALSE)/HLOOKUP(LEFT(R$1,4)*1-1&amp;"-"&amp;RIGHT(R$1,2),DATA!$D$1:$HT$52,MATCH($A16,DATA!$B:$B,0),FALSE)-1,3),0)</f>
        <v>6.8000000000000005E-2</v>
      </c>
    </row>
    <row r="17" spans="1:18" x14ac:dyDescent="0.3">
      <c r="A17" t="s">
        <v>257</v>
      </c>
      <c r="B17">
        <f>IFERROR(ROUND(HLOOKUP(LEFT(B$1,4)&amp;"-"&amp;RIGHT(B$1,2),DATA!$D$1:$HT$52,MATCH($A17,DATA!$B:$B,0),FALSE)/HLOOKUP(LEFT(B$1,4)*1-1&amp;"-"&amp;RIGHT(B$1,2),DATA!$D$1:$HT$52,MATCH($A17,DATA!$B:$B,0),FALSE)-1,3),0)</f>
        <v>4.2999999999999997E-2</v>
      </c>
      <c r="C17">
        <f>IFERROR(ROUND(HLOOKUP(LEFT(C$1,4)&amp;"-"&amp;RIGHT(C$1,2),DATA!$D$1:$HT$52,MATCH($A17,DATA!$B:$B,0),FALSE)/HLOOKUP(LEFT(C$1,4)*1-1&amp;"-"&amp;RIGHT(C$1,2),DATA!$D$1:$HT$52,MATCH($A17,DATA!$B:$B,0),FALSE)-1,3),0)</f>
        <v>0.05</v>
      </c>
      <c r="D17">
        <f>IFERROR(ROUND(HLOOKUP(LEFT(D$1,4)&amp;"-"&amp;RIGHT(D$1,2),DATA!$D$1:$HT$52,MATCH($A17,DATA!$B:$B,0),FALSE)/HLOOKUP(LEFT(D$1,4)*1-1&amp;"-"&amp;RIGHT(D$1,2),DATA!$D$1:$HT$52,MATCH($A17,DATA!$B:$B,0),FALSE)-1,3),0)</f>
        <v>0.04</v>
      </c>
      <c r="E17">
        <f>IFERROR(ROUND(HLOOKUP(LEFT(E$1,4)&amp;"-"&amp;RIGHT(E$1,2),DATA!$D$1:$HT$52,MATCH($A17,DATA!$B:$B,0),FALSE)/HLOOKUP(LEFT(E$1,4)*1-1&amp;"-"&amp;RIGHT(E$1,2),DATA!$D$1:$HT$52,MATCH($A17,DATA!$B:$B,0),FALSE)-1,3),0)</f>
        <v>6.3E-2</v>
      </c>
      <c r="F17">
        <f>IFERROR(ROUND(HLOOKUP(LEFT(F$1,4)&amp;"-"&amp;RIGHT(F$1,2),DATA!$D$1:$HT$52,MATCH($A17,DATA!$B:$B,0),FALSE)/HLOOKUP(LEFT(F$1,4)*1-1&amp;"-"&amp;RIGHT(F$1,2),DATA!$D$1:$HT$52,MATCH($A17,DATA!$B:$B,0),FALSE)-1,3),0)</f>
        <v>0.05</v>
      </c>
      <c r="G17">
        <f>IFERROR(ROUND(HLOOKUP(LEFT(G$1,4)&amp;"-"&amp;RIGHT(G$1,2),DATA!$D$1:$HT$52,MATCH($A17,DATA!$B:$B,0),FALSE)/HLOOKUP(LEFT(G$1,4)*1-1&amp;"-"&amp;RIGHT(G$1,2),DATA!$D$1:$HT$52,MATCH($A17,DATA!$B:$B,0),FALSE)-1,3),0)</f>
        <v>3.7999999999999999E-2</v>
      </c>
      <c r="H17">
        <f>IFERROR(ROUND(HLOOKUP(LEFT(H$1,4)&amp;"-"&amp;RIGHT(H$1,2),DATA!$D$1:$HT$52,MATCH($A17,DATA!$B:$B,0),FALSE)/HLOOKUP(LEFT(H$1,4)*1-1&amp;"-"&amp;RIGHT(H$1,2),DATA!$D$1:$HT$52,MATCH($A17,DATA!$B:$B,0),FALSE)-1,3),0)</f>
        <v>2.4E-2</v>
      </c>
      <c r="I17">
        <f>IFERROR(ROUND(HLOOKUP(LEFT(I$1,4)&amp;"-"&amp;RIGHT(I$1,2),DATA!$D$1:$HT$52,MATCH($A17,DATA!$B:$B,0),FALSE)/HLOOKUP(LEFT(I$1,4)*1-1&amp;"-"&amp;RIGHT(I$1,2),DATA!$D$1:$HT$52,MATCH($A17,DATA!$B:$B,0),FALSE)-1,3),0)</f>
        <v>-3.0000000000000001E-3</v>
      </c>
      <c r="J17">
        <f>IFERROR(ROUND(HLOOKUP(LEFT(J$1,4)&amp;"-"&amp;RIGHT(J$1,2),DATA!$D$1:$HT$52,MATCH($A17,DATA!$B:$B,0),FALSE)/HLOOKUP(LEFT(J$1,4)*1-1&amp;"-"&amp;RIGHT(J$1,2),DATA!$D$1:$HT$52,MATCH($A17,DATA!$B:$B,0),FALSE)-1,3),0)</f>
        <v>5.0000000000000001E-3</v>
      </c>
      <c r="K17">
        <f>IFERROR(ROUND(HLOOKUP(LEFT(K$1,4)&amp;"-"&amp;RIGHT(K$1,2),DATA!$D$1:$HT$52,MATCH($A17,DATA!$B:$B,0),FALSE)/HLOOKUP(LEFT(K$1,4)*1-1&amp;"-"&amp;RIGHT(K$1,2),DATA!$D$1:$HT$52,MATCH($A17,DATA!$B:$B,0),FALSE)-1,3),0)</f>
        <v>1E-3</v>
      </c>
      <c r="L17">
        <f>IFERROR(ROUND(HLOOKUP(LEFT(L$1,4)&amp;"-"&amp;RIGHT(L$1,2),DATA!$D$1:$HT$52,MATCH($A17,DATA!$B:$B,0),FALSE)/HLOOKUP(LEFT(L$1,4)*1-1&amp;"-"&amp;RIGHT(L$1,2),DATA!$D$1:$HT$52,MATCH($A17,DATA!$B:$B,0),FALSE)-1,3),0)</f>
        <v>-8.0000000000000002E-3</v>
      </c>
      <c r="M17">
        <f>IFERROR(ROUND(HLOOKUP(LEFT(M$1,4)&amp;"-"&amp;RIGHT(M$1,2),DATA!$D$1:$HT$52,MATCH($A17,DATA!$B:$B,0),FALSE)/HLOOKUP(LEFT(M$1,4)*1-1&amp;"-"&amp;RIGHT(M$1,2),DATA!$D$1:$HT$52,MATCH($A17,DATA!$B:$B,0),FALSE)-1,3),0)</f>
        <v>2.1999999999999999E-2</v>
      </c>
      <c r="N17">
        <f>IFERROR(ROUND(HLOOKUP(LEFT(N$1,4)&amp;"-"&amp;RIGHT(N$1,2),DATA!$D$1:$HT$52,MATCH($A17,DATA!$B:$B,0),FALSE)/HLOOKUP(LEFT(N$1,4)*1-1&amp;"-"&amp;RIGHT(N$1,2),DATA!$D$1:$HT$52,MATCH($A17,DATA!$B:$B,0),FALSE)-1,3),0)</f>
        <v>2.8000000000000001E-2</v>
      </c>
      <c r="O17">
        <f>IFERROR(ROUND(HLOOKUP(LEFT(O$1,4)&amp;"-"&amp;RIGHT(O$1,2),DATA!$D$1:$HT$52,MATCH($A17,DATA!$B:$B,0),FALSE)/HLOOKUP(LEFT(O$1,4)*1-1&amp;"-"&amp;RIGHT(O$1,2),DATA!$D$1:$HT$52,MATCH($A17,DATA!$B:$B,0),FALSE)-1,3),0)</f>
        <v>3.5000000000000003E-2</v>
      </c>
      <c r="P17">
        <f>IFERROR(ROUND(HLOOKUP(LEFT(P$1,4)&amp;"-"&amp;RIGHT(P$1,2),DATA!$D$1:$HT$52,MATCH($A17,DATA!$B:$B,0),FALSE)/HLOOKUP(LEFT(P$1,4)*1-1&amp;"-"&amp;RIGHT(P$1,2),DATA!$D$1:$HT$52,MATCH($A17,DATA!$B:$B,0),FALSE)-1,3),0)</f>
        <v>4.2000000000000003E-2</v>
      </c>
      <c r="Q17">
        <f>IFERROR(ROUND(HLOOKUP(LEFT(Q$1,4)&amp;"-"&amp;RIGHT(Q$1,2),DATA!$D$1:$HT$52,MATCH($A17,DATA!$B:$B,0),FALSE)/HLOOKUP(LEFT(Q$1,4)*1-1&amp;"-"&amp;RIGHT(Q$1,2),DATA!$D$1:$HT$52,MATCH($A17,DATA!$B:$B,0),FALSE)-1,3),0)</f>
        <v>4.1000000000000002E-2</v>
      </c>
      <c r="R17">
        <f>IFERROR(ROUND(HLOOKUP(LEFT(R$1,4)&amp;"-"&amp;RIGHT(R$1,2),DATA!$D$1:$HT$52,MATCH($A17,DATA!$B:$B,0),FALSE)/HLOOKUP(LEFT(R$1,4)*1-1&amp;"-"&amp;RIGHT(R$1,2),DATA!$D$1:$HT$52,MATCH($A17,DATA!$B:$B,0),FALSE)-1,3),0)</f>
        <v>5.2999999999999999E-2</v>
      </c>
    </row>
    <row r="18" spans="1:18" x14ac:dyDescent="0.3">
      <c r="A18" t="s">
        <v>260</v>
      </c>
      <c r="B18">
        <f>IFERROR(ROUND(HLOOKUP(LEFT(B$1,4)&amp;"-"&amp;RIGHT(B$1,2),DATA!$D$1:$HT$52,MATCH($A18,DATA!$B:$B,0),FALSE)/HLOOKUP(LEFT(B$1,4)*1-1&amp;"-"&amp;RIGHT(B$1,2),DATA!$D$1:$HT$52,MATCH($A18,DATA!$B:$B,0),FALSE)-1,3),0)</f>
        <v>0.06</v>
      </c>
      <c r="C18">
        <f>IFERROR(ROUND(HLOOKUP(LEFT(C$1,4)&amp;"-"&amp;RIGHT(C$1,2),DATA!$D$1:$HT$52,MATCH($A18,DATA!$B:$B,0),FALSE)/HLOOKUP(LEFT(C$1,4)*1-1&amp;"-"&amp;RIGHT(C$1,2),DATA!$D$1:$HT$52,MATCH($A18,DATA!$B:$B,0),FALSE)-1,3),0)</f>
        <v>1.6E-2</v>
      </c>
      <c r="D18">
        <f>IFERROR(ROUND(HLOOKUP(LEFT(D$1,4)&amp;"-"&amp;RIGHT(D$1,2),DATA!$D$1:$HT$52,MATCH($A18,DATA!$B:$B,0),FALSE)/HLOOKUP(LEFT(D$1,4)*1-1&amp;"-"&amp;RIGHT(D$1,2),DATA!$D$1:$HT$52,MATCH($A18,DATA!$B:$B,0),FALSE)-1,3),0)</f>
        <v>3.3000000000000002E-2</v>
      </c>
      <c r="E18">
        <f>IFERROR(ROUND(HLOOKUP(LEFT(E$1,4)&amp;"-"&amp;RIGHT(E$1,2),DATA!$D$1:$HT$52,MATCH($A18,DATA!$B:$B,0),FALSE)/HLOOKUP(LEFT(E$1,4)*1-1&amp;"-"&amp;RIGHT(E$1,2),DATA!$D$1:$HT$52,MATCH($A18,DATA!$B:$B,0),FALSE)-1,3),0)</f>
        <v>8.6999999999999994E-2</v>
      </c>
      <c r="F18">
        <f>IFERROR(ROUND(HLOOKUP(LEFT(F$1,4)&amp;"-"&amp;RIGHT(F$1,2),DATA!$D$1:$HT$52,MATCH($A18,DATA!$B:$B,0),FALSE)/HLOOKUP(LEFT(F$1,4)*1-1&amp;"-"&amp;RIGHT(F$1,2),DATA!$D$1:$HT$52,MATCH($A18,DATA!$B:$B,0),FALSE)-1,3),0)</f>
        <v>4.0000000000000001E-3</v>
      </c>
      <c r="G18">
        <f>IFERROR(ROUND(HLOOKUP(LEFT(G$1,4)&amp;"-"&amp;RIGHT(G$1,2),DATA!$D$1:$HT$52,MATCH($A18,DATA!$B:$B,0),FALSE)/HLOOKUP(LEFT(G$1,4)*1-1&amp;"-"&amp;RIGHT(G$1,2),DATA!$D$1:$HT$52,MATCH($A18,DATA!$B:$B,0),FALSE)-1,3),0)</f>
        <v>2.9000000000000001E-2</v>
      </c>
      <c r="H18">
        <f>IFERROR(ROUND(HLOOKUP(LEFT(H$1,4)&amp;"-"&amp;RIGHT(H$1,2),DATA!$D$1:$HT$52,MATCH($A18,DATA!$B:$B,0),FALSE)/HLOOKUP(LEFT(H$1,4)*1-1&amp;"-"&amp;RIGHT(H$1,2),DATA!$D$1:$HT$52,MATCH($A18,DATA!$B:$B,0),FALSE)-1,3),0)</f>
        <v>3.5000000000000003E-2</v>
      </c>
      <c r="I18">
        <f>IFERROR(ROUND(HLOOKUP(LEFT(I$1,4)&amp;"-"&amp;RIGHT(I$1,2),DATA!$D$1:$HT$52,MATCH($A18,DATA!$B:$B,0),FALSE)/HLOOKUP(LEFT(I$1,4)*1-1&amp;"-"&amp;RIGHT(I$1,2),DATA!$D$1:$HT$52,MATCH($A18,DATA!$B:$B,0),FALSE)-1,3),0)</f>
        <v>-2.1999999999999999E-2</v>
      </c>
      <c r="J18">
        <f>IFERROR(ROUND(HLOOKUP(LEFT(J$1,4)&amp;"-"&amp;RIGHT(J$1,2),DATA!$D$1:$HT$52,MATCH($A18,DATA!$B:$B,0),FALSE)/HLOOKUP(LEFT(J$1,4)*1-1&amp;"-"&amp;RIGHT(J$1,2),DATA!$D$1:$HT$52,MATCH($A18,DATA!$B:$B,0),FALSE)-1,3),0)</f>
        <v>-1.4E-2</v>
      </c>
      <c r="K18">
        <f>IFERROR(ROUND(HLOOKUP(LEFT(K$1,4)&amp;"-"&amp;RIGHT(K$1,2),DATA!$D$1:$HT$52,MATCH($A18,DATA!$B:$B,0),FALSE)/HLOOKUP(LEFT(K$1,4)*1-1&amp;"-"&amp;RIGHT(K$1,2),DATA!$D$1:$HT$52,MATCH($A18,DATA!$B:$B,0),FALSE)-1,3),0)</f>
        <v>-1.4E-2</v>
      </c>
      <c r="L18">
        <f>IFERROR(ROUND(HLOOKUP(LEFT(L$1,4)&amp;"-"&amp;RIGHT(L$1,2),DATA!$D$1:$HT$52,MATCH($A18,DATA!$B:$B,0),FALSE)/HLOOKUP(LEFT(L$1,4)*1-1&amp;"-"&amp;RIGHT(L$1,2),DATA!$D$1:$HT$52,MATCH($A18,DATA!$B:$B,0),FALSE)-1,3),0)</f>
        <v>-4.1000000000000002E-2</v>
      </c>
      <c r="M18">
        <f>IFERROR(ROUND(HLOOKUP(LEFT(M$1,4)&amp;"-"&amp;RIGHT(M$1,2),DATA!$D$1:$HT$52,MATCH($A18,DATA!$B:$B,0),FALSE)/HLOOKUP(LEFT(M$1,4)*1-1&amp;"-"&amp;RIGHT(M$1,2),DATA!$D$1:$HT$52,MATCH($A18,DATA!$B:$B,0),FALSE)-1,3),0)</f>
        <v>2E-3</v>
      </c>
      <c r="N18">
        <f>IFERROR(ROUND(HLOOKUP(LEFT(N$1,4)&amp;"-"&amp;RIGHT(N$1,2),DATA!$D$1:$HT$52,MATCH($A18,DATA!$B:$B,0),FALSE)/HLOOKUP(LEFT(N$1,4)*1-1&amp;"-"&amp;RIGHT(N$1,2),DATA!$D$1:$HT$52,MATCH($A18,DATA!$B:$B,0),FALSE)-1,3),0)</f>
        <v>1.7000000000000001E-2</v>
      </c>
      <c r="O18">
        <f>IFERROR(ROUND(HLOOKUP(LEFT(O$1,4)&amp;"-"&amp;RIGHT(O$1,2),DATA!$D$1:$HT$52,MATCH($A18,DATA!$B:$B,0),FALSE)/HLOOKUP(LEFT(O$1,4)*1-1&amp;"-"&amp;RIGHT(O$1,2),DATA!$D$1:$HT$52,MATCH($A18,DATA!$B:$B,0),FALSE)-1,3),0)</f>
        <v>2.7E-2</v>
      </c>
      <c r="P18">
        <f>IFERROR(ROUND(HLOOKUP(LEFT(P$1,4)&amp;"-"&amp;RIGHT(P$1,2),DATA!$D$1:$HT$52,MATCH($A18,DATA!$B:$B,0),FALSE)/HLOOKUP(LEFT(P$1,4)*1-1&amp;"-"&amp;RIGHT(P$1,2),DATA!$D$1:$HT$52,MATCH($A18,DATA!$B:$B,0),FALSE)-1,3),0)</f>
        <v>2.8000000000000001E-2</v>
      </c>
      <c r="Q18">
        <f>IFERROR(ROUND(HLOOKUP(LEFT(Q$1,4)&amp;"-"&amp;RIGHT(Q$1,2),DATA!$D$1:$HT$52,MATCH($A18,DATA!$B:$B,0),FALSE)/HLOOKUP(LEFT(Q$1,4)*1-1&amp;"-"&amp;RIGHT(Q$1,2),DATA!$D$1:$HT$52,MATCH($A18,DATA!$B:$B,0),FALSE)-1,3),0)</f>
        <v>6.6000000000000003E-2</v>
      </c>
      <c r="R18">
        <f>IFERROR(ROUND(HLOOKUP(LEFT(R$1,4)&amp;"-"&amp;RIGHT(R$1,2),DATA!$D$1:$HT$52,MATCH($A18,DATA!$B:$B,0),FALSE)/HLOOKUP(LEFT(R$1,4)*1-1&amp;"-"&amp;RIGHT(R$1,2),DATA!$D$1:$HT$52,MATCH($A18,DATA!$B:$B,0),FALSE)-1,3),0)</f>
        <v>5.3999999999999999E-2</v>
      </c>
    </row>
    <row r="19" spans="1:18" x14ac:dyDescent="0.3">
      <c r="A19" t="s">
        <v>253</v>
      </c>
      <c r="B19">
        <f>IFERROR(ROUND(HLOOKUP(LEFT(B$1,4)&amp;"-"&amp;RIGHT(B$1,2),DATA!$D$1:$HT$52,MATCH($A19,DATA!$B:$B,0),FALSE)/HLOOKUP(LEFT(B$1,4)*1-1&amp;"-"&amp;RIGHT(B$1,2),DATA!$D$1:$HT$52,MATCH($A19,DATA!$B:$B,0),FALSE)-1,3),0)</f>
        <v>5.6000000000000001E-2</v>
      </c>
      <c r="C19">
        <f>IFERROR(ROUND(HLOOKUP(LEFT(C$1,4)&amp;"-"&amp;RIGHT(C$1,2),DATA!$D$1:$HT$52,MATCH($A19,DATA!$B:$B,0),FALSE)/HLOOKUP(LEFT(C$1,4)*1-1&amp;"-"&amp;RIGHT(C$1,2),DATA!$D$1:$HT$52,MATCH($A19,DATA!$B:$B,0),FALSE)-1,3),0)</f>
        <v>5.5E-2</v>
      </c>
      <c r="D19">
        <f>IFERROR(ROUND(HLOOKUP(LEFT(D$1,4)&amp;"-"&amp;RIGHT(D$1,2),DATA!$D$1:$HT$52,MATCH($A19,DATA!$B:$B,0),FALSE)/HLOOKUP(LEFT(D$1,4)*1-1&amp;"-"&amp;RIGHT(D$1,2),DATA!$D$1:$HT$52,MATCH($A19,DATA!$B:$B,0),FALSE)-1,3),0)</f>
        <v>4.8000000000000001E-2</v>
      </c>
      <c r="E19">
        <f>IFERROR(ROUND(HLOOKUP(LEFT(E$1,4)&amp;"-"&amp;RIGHT(E$1,2),DATA!$D$1:$HT$52,MATCH($A19,DATA!$B:$B,0),FALSE)/HLOOKUP(LEFT(E$1,4)*1-1&amp;"-"&amp;RIGHT(E$1,2),DATA!$D$1:$HT$52,MATCH($A19,DATA!$B:$B,0),FALSE)-1,3),0)</f>
        <v>4.8000000000000001E-2</v>
      </c>
      <c r="F19">
        <f>IFERROR(ROUND(HLOOKUP(LEFT(F$1,4)&amp;"-"&amp;RIGHT(F$1,2),DATA!$D$1:$HT$52,MATCH($A19,DATA!$B:$B,0),FALSE)/HLOOKUP(LEFT(F$1,4)*1-1&amp;"-"&amp;RIGHT(F$1,2),DATA!$D$1:$HT$52,MATCH($A19,DATA!$B:$B,0),FALSE)-1,3),0)</f>
        <v>1.6E-2</v>
      </c>
      <c r="G19">
        <f>IFERROR(ROUND(HLOOKUP(LEFT(G$1,4)&amp;"-"&amp;RIGHT(G$1,2),DATA!$D$1:$HT$52,MATCH($A19,DATA!$B:$B,0),FALSE)/HLOOKUP(LEFT(G$1,4)*1-1&amp;"-"&amp;RIGHT(G$1,2),DATA!$D$1:$HT$52,MATCH($A19,DATA!$B:$B,0),FALSE)-1,3),0)</f>
        <v>0.05</v>
      </c>
      <c r="H19">
        <f>IFERROR(ROUND(HLOOKUP(LEFT(H$1,4)&amp;"-"&amp;RIGHT(H$1,2),DATA!$D$1:$HT$52,MATCH($A19,DATA!$B:$B,0),FALSE)/HLOOKUP(LEFT(H$1,4)*1-1&amp;"-"&amp;RIGHT(H$1,2),DATA!$D$1:$HT$52,MATCH($A19,DATA!$B:$B,0),FALSE)-1,3),0)</f>
        <v>-8.9999999999999993E-3</v>
      </c>
      <c r="I19">
        <f>IFERROR(ROUND(HLOOKUP(LEFT(I$1,4)&amp;"-"&amp;RIGHT(I$1,2),DATA!$D$1:$HT$52,MATCH($A19,DATA!$B:$B,0),FALSE)/HLOOKUP(LEFT(I$1,4)*1-1&amp;"-"&amp;RIGHT(I$1,2),DATA!$D$1:$HT$52,MATCH($A19,DATA!$B:$B,0),FALSE)-1,3),0)</f>
        <v>-1.4E-2</v>
      </c>
      <c r="J19">
        <f>IFERROR(ROUND(HLOOKUP(LEFT(J$1,4)&amp;"-"&amp;RIGHT(J$1,2),DATA!$D$1:$HT$52,MATCH($A19,DATA!$B:$B,0),FALSE)/HLOOKUP(LEFT(J$1,4)*1-1&amp;"-"&amp;RIGHT(J$1,2),DATA!$D$1:$HT$52,MATCH($A19,DATA!$B:$B,0),FALSE)-1,3),0)</f>
        <v>-0.01</v>
      </c>
      <c r="K19">
        <f>IFERROR(ROUND(HLOOKUP(LEFT(K$1,4)&amp;"-"&amp;RIGHT(K$1,2),DATA!$D$1:$HT$52,MATCH($A19,DATA!$B:$B,0),FALSE)/HLOOKUP(LEFT(K$1,4)*1-1&amp;"-"&amp;RIGHT(K$1,2),DATA!$D$1:$HT$52,MATCH($A19,DATA!$B:$B,0),FALSE)-1,3),0)</f>
        <v>1.4999999999999999E-2</v>
      </c>
      <c r="L19">
        <f>IFERROR(ROUND(HLOOKUP(LEFT(L$1,4)&amp;"-"&amp;RIGHT(L$1,2),DATA!$D$1:$HT$52,MATCH($A19,DATA!$B:$B,0),FALSE)/HLOOKUP(LEFT(L$1,4)*1-1&amp;"-"&amp;RIGHT(L$1,2),DATA!$D$1:$HT$52,MATCH($A19,DATA!$B:$B,0),FALSE)-1,3),0)</f>
        <v>-3.4000000000000002E-2</v>
      </c>
      <c r="M19">
        <f>IFERROR(ROUND(HLOOKUP(LEFT(M$1,4)&amp;"-"&amp;RIGHT(M$1,2),DATA!$D$1:$HT$52,MATCH($A19,DATA!$B:$B,0),FALSE)/HLOOKUP(LEFT(M$1,4)*1-1&amp;"-"&amp;RIGHT(M$1,2),DATA!$D$1:$HT$52,MATCH($A19,DATA!$B:$B,0),FALSE)-1,3),0)</f>
        <v>4.0000000000000001E-3</v>
      </c>
      <c r="N19">
        <f>IFERROR(ROUND(HLOOKUP(LEFT(N$1,4)&amp;"-"&amp;RIGHT(N$1,2),DATA!$D$1:$HT$52,MATCH($A19,DATA!$B:$B,0),FALSE)/HLOOKUP(LEFT(N$1,4)*1-1&amp;"-"&amp;RIGHT(N$1,2),DATA!$D$1:$HT$52,MATCH($A19,DATA!$B:$B,0),FALSE)-1,3),0)</f>
        <v>1.2999999999999999E-2</v>
      </c>
      <c r="O19">
        <f>IFERROR(ROUND(HLOOKUP(LEFT(O$1,4)&amp;"-"&amp;RIGHT(O$1,2),DATA!$D$1:$HT$52,MATCH($A19,DATA!$B:$B,0),FALSE)/HLOOKUP(LEFT(O$1,4)*1-1&amp;"-"&amp;RIGHT(O$1,2),DATA!$D$1:$HT$52,MATCH($A19,DATA!$B:$B,0),FALSE)-1,3),0)</f>
        <v>0.02</v>
      </c>
      <c r="P19">
        <f>IFERROR(ROUND(HLOOKUP(LEFT(P$1,4)&amp;"-"&amp;RIGHT(P$1,2),DATA!$D$1:$HT$52,MATCH($A19,DATA!$B:$B,0),FALSE)/HLOOKUP(LEFT(P$1,4)*1-1&amp;"-"&amp;RIGHT(P$1,2),DATA!$D$1:$HT$52,MATCH($A19,DATA!$B:$B,0),FALSE)-1,3),0)</f>
        <v>4.3999999999999997E-2</v>
      </c>
      <c r="Q19">
        <f>IFERROR(ROUND(HLOOKUP(LEFT(Q$1,4)&amp;"-"&amp;RIGHT(Q$1,2),DATA!$D$1:$HT$52,MATCH($A19,DATA!$B:$B,0),FALSE)/HLOOKUP(LEFT(Q$1,4)*1-1&amp;"-"&amp;RIGHT(Q$1,2),DATA!$D$1:$HT$52,MATCH($A19,DATA!$B:$B,0),FALSE)-1,3),0)</f>
        <v>5.7000000000000002E-2</v>
      </c>
      <c r="R19">
        <f>IFERROR(ROUND(HLOOKUP(LEFT(R$1,4)&amp;"-"&amp;RIGHT(R$1,2),DATA!$D$1:$HT$52,MATCH($A19,DATA!$B:$B,0),FALSE)/HLOOKUP(LEFT(R$1,4)*1-1&amp;"-"&amp;RIGHT(R$1,2),DATA!$D$1:$HT$52,MATCH($A19,DATA!$B:$B,0),FALSE)-1,3),0)</f>
        <v>6.6000000000000003E-2</v>
      </c>
    </row>
    <row r="20" spans="1:18" x14ac:dyDescent="0.3">
      <c r="A20" t="s">
        <v>252</v>
      </c>
      <c r="B20">
        <f>IFERROR(ROUND(HLOOKUP(LEFT(B$1,4)&amp;"-"&amp;RIGHT(B$1,2),DATA!$D$1:$HT$52,MATCH($A20,DATA!$B:$B,0),FALSE)/HLOOKUP(LEFT(B$1,4)*1-1&amp;"-"&amp;RIGHT(B$1,2),DATA!$D$1:$HT$52,MATCH($A20,DATA!$B:$B,0),FALSE)-1,3),0)</f>
        <v>-5.0999999999999997E-2</v>
      </c>
      <c r="C20">
        <f>IFERROR(ROUND(HLOOKUP(LEFT(C$1,4)&amp;"-"&amp;RIGHT(C$1,2),DATA!$D$1:$HT$52,MATCH($A20,DATA!$B:$B,0),FALSE)/HLOOKUP(LEFT(C$1,4)*1-1&amp;"-"&amp;RIGHT(C$1,2),DATA!$D$1:$HT$52,MATCH($A20,DATA!$B:$B,0),FALSE)-1,3),0)</f>
        <v>0.03</v>
      </c>
      <c r="D20">
        <f>IFERROR(ROUND(HLOOKUP(LEFT(D$1,4)&amp;"-"&amp;RIGHT(D$1,2),DATA!$D$1:$HT$52,MATCH($A20,DATA!$B:$B,0),FALSE)/HLOOKUP(LEFT(D$1,4)*1-1&amp;"-"&amp;RIGHT(D$1,2),DATA!$D$1:$HT$52,MATCH($A20,DATA!$B:$B,0),FALSE)-1,3),0)</f>
        <v>7.5999999999999998E-2</v>
      </c>
      <c r="E20">
        <f>IFERROR(ROUND(HLOOKUP(LEFT(E$1,4)&amp;"-"&amp;RIGHT(E$1,2),DATA!$D$1:$HT$52,MATCH($A20,DATA!$B:$B,0),FALSE)/HLOOKUP(LEFT(E$1,4)*1-1&amp;"-"&amp;RIGHT(E$1,2),DATA!$D$1:$HT$52,MATCH($A20,DATA!$B:$B,0),FALSE)-1,3),0)</f>
        <v>5.5E-2</v>
      </c>
      <c r="F20">
        <f>IFERROR(ROUND(HLOOKUP(LEFT(F$1,4)&amp;"-"&amp;RIGHT(F$1,2),DATA!$D$1:$HT$52,MATCH($A20,DATA!$B:$B,0),FALSE)/HLOOKUP(LEFT(F$1,4)*1-1&amp;"-"&amp;RIGHT(F$1,2),DATA!$D$1:$HT$52,MATCH($A20,DATA!$B:$B,0),FALSE)-1,3),0)</f>
        <v>7.0999999999999994E-2</v>
      </c>
      <c r="G20">
        <f>IFERROR(ROUND(HLOOKUP(LEFT(G$1,4)&amp;"-"&amp;RIGHT(G$1,2),DATA!$D$1:$HT$52,MATCH($A20,DATA!$B:$B,0),FALSE)/HLOOKUP(LEFT(G$1,4)*1-1&amp;"-"&amp;RIGHT(G$1,2),DATA!$D$1:$HT$52,MATCH($A20,DATA!$B:$B,0),FALSE)-1,3),0)</f>
        <v>6.5000000000000002E-2</v>
      </c>
      <c r="H20">
        <f>IFERROR(ROUND(HLOOKUP(LEFT(H$1,4)&amp;"-"&amp;RIGHT(H$1,2),DATA!$D$1:$HT$52,MATCH($A20,DATA!$B:$B,0),FALSE)/HLOOKUP(LEFT(H$1,4)*1-1&amp;"-"&amp;RIGHT(H$1,2),DATA!$D$1:$HT$52,MATCH($A20,DATA!$B:$B,0),FALSE)-1,3),0)</f>
        <v>4.1000000000000002E-2</v>
      </c>
      <c r="I20">
        <f>IFERROR(ROUND(HLOOKUP(LEFT(I$1,4)&amp;"-"&amp;RIGHT(I$1,2),DATA!$D$1:$HT$52,MATCH($A20,DATA!$B:$B,0),FALSE)/HLOOKUP(LEFT(I$1,4)*1-1&amp;"-"&amp;RIGHT(I$1,2),DATA!$D$1:$HT$52,MATCH($A20,DATA!$B:$B,0),FALSE)-1,3),0)</f>
        <v>7.0000000000000001E-3</v>
      </c>
      <c r="J20">
        <f>IFERROR(ROUND(HLOOKUP(LEFT(J$1,4)&amp;"-"&amp;RIGHT(J$1,2),DATA!$D$1:$HT$52,MATCH($A20,DATA!$B:$B,0),FALSE)/HLOOKUP(LEFT(J$1,4)*1-1&amp;"-"&amp;RIGHT(J$1,2),DATA!$D$1:$HT$52,MATCH($A20,DATA!$B:$B,0),FALSE)-1,3),0)</f>
        <v>6.0000000000000001E-3</v>
      </c>
      <c r="K20">
        <f>IFERROR(ROUND(HLOOKUP(LEFT(K$1,4)&amp;"-"&amp;RIGHT(K$1,2),DATA!$D$1:$HT$52,MATCH($A20,DATA!$B:$B,0),FALSE)/HLOOKUP(LEFT(K$1,4)*1-1&amp;"-"&amp;RIGHT(K$1,2),DATA!$D$1:$HT$52,MATCH($A20,DATA!$B:$B,0),FALSE)-1,3),0)</f>
        <v>-1.2E-2</v>
      </c>
      <c r="L20">
        <f>IFERROR(ROUND(HLOOKUP(LEFT(L$1,4)&amp;"-"&amp;RIGHT(L$1,2),DATA!$D$1:$HT$52,MATCH($A20,DATA!$B:$B,0),FALSE)/HLOOKUP(LEFT(L$1,4)*1-1&amp;"-"&amp;RIGHT(L$1,2),DATA!$D$1:$HT$52,MATCH($A20,DATA!$B:$B,0),FALSE)-1,3),0)</f>
        <v>-4.1000000000000002E-2</v>
      </c>
      <c r="M20">
        <f>IFERROR(ROUND(HLOOKUP(LEFT(M$1,4)&amp;"-"&amp;RIGHT(M$1,2),DATA!$D$1:$HT$52,MATCH($A20,DATA!$B:$B,0),FALSE)/HLOOKUP(LEFT(M$1,4)*1-1&amp;"-"&amp;RIGHT(M$1,2),DATA!$D$1:$HT$52,MATCH($A20,DATA!$B:$B,0),FALSE)-1,3),0)</f>
        <v>2E-3</v>
      </c>
      <c r="N20">
        <f>IFERROR(ROUND(HLOOKUP(LEFT(N$1,4)&amp;"-"&amp;RIGHT(N$1,2),DATA!$D$1:$HT$52,MATCH($A20,DATA!$B:$B,0),FALSE)/HLOOKUP(LEFT(N$1,4)*1-1&amp;"-"&amp;RIGHT(N$1,2),DATA!$D$1:$HT$52,MATCH($A20,DATA!$B:$B,0),FALSE)-1,3),0)</f>
        <v>2.5000000000000001E-2</v>
      </c>
      <c r="O20">
        <f>IFERROR(ROUND(HLOOKUP(LEFT(O$1,4)&amp;"-"&amp;RIGHT(O$1,2),DATA!$D$1:$HT$52,MATCH($A20,DATA!$B:$B,0),FALSE)/HLOOKUP(LEFT(O$1,4)*1-1&amp;"-"&amp;RIGHT(O$1,2),DATA!$D$1:$HT$52,MATCH($A20,DATA!$B:$B,0),FALSE)-1,3),0)</f>
        <v>2.7E-2</v>
      </c>
      <c r="P20">
        <f>IFERROR(ROUND(HLOOKUP(LEFT(P$1,4)&amp;"-"&amp;RIGHT(P$1,2),DATA!$D$1:$HT$52,MATCH($A20,DATA!$B:$B,0),FALSE)/HLOOKUP(LEFT(P$1,4)*1-1&amp;"-"&amp;RIGHT(P$1,2),DATA!$D$1:$HT$52,MATCH($A20,DATA!$B:$B,0),FALSE)-1,3),0)</f>
        <v>3.2000000000000001E-2</v>
      </c>
      <c r="Q20">
        <f>IFERROR(ROUND(HLOOKUP(LEFT(Q$1,4)&amp;"-"&amp;RIGHT(Q$1,2),DATA!$D$1:$HT$52,MATCH($A20,DATA!$B:$B,0),FALSE)/HLOOKUP(LEFT(Q$1,4)*1-1&amp;"-"&amp;RIGHT(Q$1,2),DATA!$D$1:$HT$52,MATCH($A20,DATA!$B:$B,0),FALSE)-1,3),0)</f>
        <v>6.3E-2</v>
      </c>
      <c r="R20">
        <f>IFERROR(ROUND(HLOOKUP(LEFT(R$1,4)&amp;"-"&amp;RIGHT(R$1,2),DATA!$D$1:$HT$52,MATCH($A20,DATA!$B:$B,0),FALSE)/HLOOKUP(LEFT(R$1,4)*1-1&amp;"-"&amp;RIGHT(R$1,2),DATA!$D$1:$HT$52,MATCH($A20,DATA!$B:$B,0),FALSE)-1,3),0)</f>
        <v>3.5000000000000003E-2</v>
      </c>
    </row>
    <row r="21" spans="1:18" x14ac:dyDescent="0.3">
      <c r="A21" t="s">
        <v>268</v>
      </c>
      <c r="B21">
        <f>IFERROR(ROUND(HLOOKUP(LEFT(B$1,4)&amp;"-"&amp;RIGHT(B$1,2),DATA!$D$1:$HT$52,MATCH($A21,DATA!$B:$B,0),FALSE)/HLOOKUP(LEFT(B$1,4)*1-1&amp;"-"&amp;RIGHT(B$1,2),DATA!$D$1:$HT$52,MATCH($A21,DATA!$B:$B,0),FALSE)-1,3),0)</f>
        <v>0.127</v>
      </c>
      <c r="C21">
        <f>IFERROR(ROUND(HLOOKUP(LEFT(C$1,4)&amp;"-"&amp;RIGHT(C$1,2),DATA!$D$1:$HT$52,MATCH($A21,DATA!$B:$B,0),FALSE)/HLOOKUP(LEFT(C$1,4)*1-1&amp;"-"&amp;RIGHT(C$1,2),DATA!$D$1:$HT$52,MATCH($A21,DATA!$B:$B,0),FALSE)-1,3),0)</f>
        <v>0.109</v>
      </c>
      <c r="D21">
        <f>IFERROR(ROUND(HLOOKUP(LEFT(D$1,4)&amp;"-"&amp;RIGHT(D$1,2),DATA!$D$1:$HT$52,MATCH($A21,DATA!$B:$B,0),FALSE)/HLOOKUP(LEFT(D$1,4)*1-1&amp;"-"&amp;RIGHT(D$1,2),DATA!$D$1:$HT$52,MATCH($A21,DATA!$B:$B,0),FALSE)-1,3),0)</f>
        <v>0.13300000000000001</v>
      </c>
      <c r="E21">
        <f>IFERROR(ROUND(HLOOKUP(LEFT(E$1,4)&amp;"-"&amp;RIGHT(E$1,2),DATA!$D$1:$HT$52,MATCH($A21,DATA!$B:$B,0),FALSE)/HLOOKUP(LEFT(E$1,4)*1-1&amp;"-"&amp;RIGHT(E$1,2),DATA!$D$1:$HT$52,MATCH($A21,DATA!$B:$B,0),FALSE)-1,3),0)</f>
        <v>0.13400000000000001</v>
      </c>
      <c r="F21">
        <f>IFERROR(ROUND(HLOOKUP(LEFT(F$1,4)&amp;"-"&amp;RIGHT(F$1,2),DATA!$D$1:$HT$52,MATCH($A21,DATA!$B:$B,0),FALSE)/HLOOKUP(LEFT(F$1,4)*1-1&amp;"-"&amp;RIGHT(F$1,2),DATA!$D$1:$HT$52,MATCH($A21,DATA!$B:$B,0),FALSE)-1,3),0)</f>
        <v>8.1000000000000003E-2</v>
      </c>
      <c r="G21">
        <f>IFERROR(ROUND(HLOOKUP(LEFT(G$1,4)&amp;"-"&amp;RIGHT(G$1,2),DATA!$D$1:$HT$52,MATCH($A21,DATA!$B:$B,0),FALSE)/HLOOKUP(LEFT(G$1,4)*1-1&amp;"-"&amp;RIGHT(G$1,2),DATA!$D$1:$HT$52,MATCH($A21,DATA!$B:$B,0),FALSE)-1,3),0)</f>
        <v>-8.0000000000000002E-3</v>
      </c>
      <c r="H21">
        <f>IFERROR(ROUND(HLOOKUP(LEFT(H$1,4)&amp;"-"&amp;RIGHT(H$1,2),DATA!$D$1:$HT$52,MATCH($A21,DATA!$B:$B,0),FALSE)/HLOOKUP(LEFT(H$1,4)*1-1&amp;"-"&amp;RIGHT(H$1,2),DATA!$D$1:$HT$52,MATCH($A21,DATA!$B:$B,0),FALSE)-1,3),0)</f>
        <v>-1.0999999999999999E-2</v>
      </c>
      <c r="I21">
        <f>IFERROR(ROUND(HLOOKUP(LEFT(I$1,4)&amp;"-"&amp;RIGHT(I$1,2),DATA!$D$1:$HT$52,MATCH($A21,DATA!$B:$B,0),FALSE)/HLOOKUP(LEFT(I$1,4)*1-1&amp;"-"&amp;RIGHT(I$1,2),DATA!$D$1:$HT$52,MATCH($A21,DATA!$B:$B,0),FALSE)-1,3),0)</f>
        <v>-0.10299999999999999</v>
      </c>
      <c r="J21">
        <f>IFERROR(ROUND(HLOOKUP(LEFT(J$1,4)&amp;"-"&amp;RIGHT(J$1,2),DATA!$D$1:$HT$52,MATCH($A21,DATA!$B:$B,0),FALSE)/HLOOKUP(LEFT(J$1,4)*1-1&amp;"-"&amp;RIGHT(J$1,2),DATA!$D$1:$HT$52,MATCH($A21,DATA!$B:$B,0),FALSE)-1,3),0)</f>
        <v>-3.2000000000000001E-2</v>
      </c>
      <c r="K21">
        <f>IFERROR(ROUND(HLOOKUP(LEFT(K$1,4)&amp;"-"&amp;RIGHT(K$1,2),DATA!$D$1:$HT$52,MATCH($A21,DATA!$B:$B,0),FALSE)/HLOOKUP(LEFT(K$1,4)*1-1&amp;"-"&amp;RIGHT(K$1,2),DATA!$D$1:$HT$52,MATCH($A21,DATA!$B:$B,0),FALSE)-1,3),0)</f>
        <v>1.7000000000000001E-2</v>
      </c>
      <c r="L21">
        <f>IFERROR(ROUND(HLOOKUP(LEFT(L$1,4)&amp;"-"&amp;RIGHT(L$1,2),DATA!$D$1:$HT$52,MATCH($A21,DATA!$B:$B,0),FALSE)/HLOOKUP(LEFT(L$1,4)*1-1&amp;"-"&amp;RIGHT(L$1,2),DATA!$D$1:$HT$52,MATCH($A21,DATA!$B:$B,0),FALSE)-1,3),0)</f>
        <v>-3.6999999999999998E-2</v>
      </c>
      <c r="M21">
        <f>IFERROR(ROUND(HLOOKUP(LEFT(M$1,4)&amp;"-"&amp;RIGHT(M$1,2),DATA!$D$1:$HT$52,MATCH($A21,DATA!$B:$B,0),FALSE)/HLOOKUP(LEFT(M$1,4)*1-1&amp;"-"&amp;RIGHT(M$1,2),DATA!$D$1:$HT$52,MATCH($A21,DATA!$B:$B,0),FALSE)-1,3),0)</f>
        <v>2.9000000000000001E-2</v>
      </c>
      <c r="N21">
        <f>IFERROR(ROUND(HLOOKUP(LEFT(N$1,4)&amp;"-"&amp;RIGHT(N$1,2),DATA!$D$1:$HT$52,MATCH($A21,DATA!$B:$B,0),FALSE)/HLOOKUP(LEFT(N$1,4)*1-1&amp;"-"&amp;RIGHT(N$1,2),DATA!$D$1:$HT$52,MATCH($A21,DATA!$B:$B,0),FALSE)-1,3),0)</f>
        <v>2.1000000000000001E-2</v>
      </c>
      <c r="O21">
        <f>IFERROR(ROUND(HLOOKUP(LEFT(O$1,4)&amp;"-"&amp;RIGHT(O$1,2),DATA!$D$1:$HT$52,MATCH($A21,DATA!$B:$B,0),FALSE)/HLOOKUP(LEFT(O$1,4)*1-1&amp;"-"&amp;RIGHT(O$1,2),DATA!$D$1:$HT$52,MATCH($A21,DATA!$B:$B,0),FALSE)-1,3),0)</f>
        <v>3.3000000000000002E-2</v>
      </c>
      <c r="P21">
        <f>IFERROR(ROUND(HLOOKUP(LEFT(P$1,4)&amp;"-"&amp;RIGHT(P$1,2),DATA!$D$1:$HT$52,MATCH($A21,DATA!$B:$B,0),FALSE)/HLOOKUP(LEFT(P$1,4)*1-1&amp;"-"&amp;RIGHT(P$1,2),DATA!$D$1:$HT$52,MATCH($A21,DATA!$B:$B,0),FALSE)-1,3),0)</f>
        <v>2.5999999999999999E-2</v>
      </c>
      <c r="Q21">
        <f>IFERROR(ROUND(HLOOKUP(LEFT(Q$1,4)&amp;"-"&amp;RIGHT(Q$1,2),DATA!$D$1:$HT$52,MATCH($A21,DATA!$B:$B,0),FALSE)/HLOOKUP(LEFT(Q$1,4)*1-1&amp;"-"&amp;RIGHT(Q$1,2),DATA!$D$1:$HT$52,MATCH($A21,DATA!$B:$B,0),FALSE)-1,3),0)</f>
        <v>7.5999999999999998E-2</v>
      </c>
      <c r="R21">
        <f>IFERROR(ROUND(HLOOKUP(LEFT(R$1,4)&amp;"-"&amp;RIGHT(R$1,2),DATA!$D$1:$HT$52,MATCH($A21,DATA!$B:$B,0),FALSE)/HLOOKUP(LEFT(R$1,4)*1-1&amp;"-"&amp;RIGHT(R$1,2),DATA!$D$1:$HT$52,MATCH($A21,DATA!$B:$B,0),FALSE)-1,3),0)</f>
        <v>7.3999999999999996E-2</v>
      </c>
    </row>
    <row r="22" spans="1:18" x14ac:dyDescent="0.3">
      <c r="A22" t="s">
        <v>246</v>
      </c>
      <c r="B22">
        <f>IFERROR(ROUND(HLOOKUP(LEFT(B$1,4)&amp;"-"&amp;RIGHT(B$1,2),DATA!$D$1:$HT$52,MATCH($A22,DATA!$B:$B,0),FALSE)/HLOOKUP(LEFT(B$1,4)*1-1&amp;"-"&amp;RIGHT(B$1,2),DATA!$D$1:$HT$52,MATCH($A22,DATA!$B:$B,0),FALSE)-1,3),0)</f>
        <v>8.8999999999999996E-2</v>
      </c>
      <c r="C22">
        <f>IFERROR(ROUND(HLOOKUP(LEFT(C$1,4)&amp;"-"&amp;RIGHT(C$1,2),DATA!$D$1:$HT$52,MATCH($A22,DATA!$B:$B,0),FALSE)/HLOOKUP(LEFT(C$1,4)*1-1&amp;"-"&amp;RIGHT(C$1,2),DATA!$D$1:$HT$52,MATCH($A22,DATA!$B:$B,0),FALSE)-1,3),0)</f>
        <v>0.13900000000000001</v>
      </c>
      <c r="D22">
        <f>IFERROR(ROUND(HLOOKUP(LEFT(D$1,4)&amp;"-"&amp;RIGHT(D$1,2),DATA!$D$1:$HT$52,MATCH($A22,DATA!$B:$B,0),FALSE)/HLOOKUP(LEFT(D$1,4)*1-1&amp;"-"&amp;RIGHT(D$1,2),DATA!$D$1:$HT$52,MATCH($A22,DATA!$B:$B,0),FALSE)-1,3),0)</f>
        <v>0.16900000000000001</v>
      </c>
      <c r="E22">
        <f>IFERROR(ROUND(HLOOKUP(LEFT(E$1,4)&amp;"-"&amp;RIGHT(E$1,2),DATA!$D$1:$HT$52,MATCH($A22,DATA!$B:$B,0),FALSE)/HLOOKUP(LEFT(E$1,4)*1-1&amp;"-"&amp;RIGHT(E$1,2),DATA!$D$1:$HT$52,MATCH($A22,DATA!$B:$B,0),FALSE)-1,3),0)</f>
        <v>0.246</v>
      </c>
      <c r="F22">
        <f>IFERROR(ROUND(HLOOKUP(LEFT(F$1,4)&amp;"-"&amp;RIGHT(F$1,2),DATA!$D$1:$HT$52,MATCH($A22,DATA!$B:$B,0),FALSE)/HLOOKUP(LEFT(F$1,4)*1-1&amp;"-"&amp;RIGHT(F$1,2),DATA!$D$1:$HT$52,MATCH($A22,DATA!$B:$B,0),FALSE)-1,3),0)</f>
        <v>0.20100000000000001</v>
      </c>
      <c r="G22">
        <f>IFERROR(ROUND(HLOOKUP(LEFT(G$1,4)&amp;"-"&amp;RIGHT(G$1,2),DATA!$D$1:$HT$52,MATCH($A22,DATA!$B:$B,0),FALSE)/HLOOKUP(LEFT(G$1,4)*1-1&amp;"-"&amp;RIGHT(G$1,2),DATA!$D$1:$HT$52,MATCH($A22,DATA!$B:$B,0),FALSE)-1,3),0)</f>
        <v>5.6000000000000001E-2</v>
      </c>
      <c r="H22">
        <f>IFERROR(ROUND(HLOOKUP(LEFT(H$1,4)&amp;"-"&amp;RIGHT(H$1,2),DATA!$D$1:$HT$52,MATCH($A22,DATA!$B:$B,0),FALSE)/HLOOKUP(LEFT(H$1,4)*1-1&amp;"-"&amp;RIGHT(H$1,2),DATA!$D$1:$HT$52,MATCH($A22,DATA!$B:$B,0),FALSE)-1,3),0)</f>
        <v>-5.2999999999999999E-2</v>
      </c>
      <c r="I22">
        <f>IFERROR(ROUND(HLOOKUP(LEFT(I$1,4)&amp;"-"&amp;RIGHT(I$1,2),DATA!$D$1:$HT$52,MATCH($A22,DATA!$B:$B,0),FALSE)/HLOOKUP(LEFT(I$1,4)*1-1&amp;"-"&amp;RIGHT(I$1,2),DATA!$D$1:$HT$52,MATCH($A22,DATA!$B:$B,0),FALSE)-1,3),0)</f>
        <v>-0.121</v>
      </c>
      <c r="J22">
        <f>IFERROR(ROUND(HLOOKUP(LEFT(J$1,4)&amp;"-"&amp;RIGHT(J$1,2),DATA!$D$1:$HT$52,MATCH($A22,DATA!$B:$B,0),FALSE)/HLOOKUP(LEFT(J$1,4)*1-1&amp;"-"&amp;RIGHT(J$1,2),DATA!$D$1:$HT$52,MATCH($A22,DATA!$B:$B,0),FALSE)-1,3),0)</f>
        <v>-9.8000000000000004E-2</v>
      </c>
      <c r="K22">
        <f>IFERROR(ROUND(HLOOKUP(LEFT(K$1,4)&amp;"-"&amp;RIGHT(K$1,2),DATA!$D$1:$HT$52,MATCH($A22,DATA!$B:$B,0),FALSE)/HLOOKUP(LEFT(K$1,4)*1-1&amp;"-"&amp;RIGHT(K$1,2),DATA!$D$1:$HT$52,MATCH($A22,DATA!$B:$B,0),FALSE)-1,3),0)</f>
        <v>-5.6000000000000001E-2</v>
      </c>
      <c r="L22">
        <f>IFERROR(ROUND(HLOOKUP(LEFT(L$1,4)&amp;"-"&amp;RIGHT(L$1,2),DATA!$D$1:$HT$52,MATCH($A22,DATA!$B:$B,0),FALSE)/HLOOKUP(LEFT(L$1,4)*1-1&amp;"-"&amp;RIGHT(L$1,2),DATA!$D$1:$HT$52,MATCH($A22,DATA!$B:$B,0),FALSE)-1,3),0)</f>
        <v>-6.5000000000000002E-2</v>
      </c>
      <c r="M22">
        <f>IFERROR(ROUND(HLOOKUP(LEFT(M$1,4)&amp;"-"&amp;RIGHT(M$1,2),DATA!$D$1:$HT$52,MATCH($A22,DATA!$B:$B,0),FALSE)/HLOOKUP(LEFT(M$1,4)*1-1&amp;"-"&amp;RIGHT(M$1,2),DATA!$D$1:$HT$52,MATCH($A22,DATA!$B:$B,0),FALSE)-1,3),0)</f>
        <v>3.1E-2</v>
      </c>
      <c r="N22">
        <f>IFERROR(ROUND(HLOOKUP(LEFT(N$1,4)&amp;"-"&amp;RIGHT(N$1,2),DATA!$D$1:$HT$52,MATCH($A22,DATA!$B:$B,0),FALSE)/HLOOKUP(LEFT(N$1,4)*1-1&amp;"-"&amp;RIGHT(N$1,2),DATA!$D$1:$HT$52,MATCH($A22,DATA!$B:$B,0),FALSE)-1,3),0)</f>
        <v>5.5E-2</v>
      </c>
      <c r="O22">
        <f>IFERROR(ROUND(HLOOKUP(LEFT(O$1,4)&amp;"-"&amp;RIGHT(O$1,2),DATA!$D$1:$HT$52,MATCH($A22,DATA!$B:$B,0),FALSE)/HLOOKUP(LEFT(O$1,4)*1-1&amp;"-"&amp;RIGHT(O$1,2),DATA!$D$1:$HT$52,MATCH($A22,DATA!$B:$B,0),FALSE)-1,3),0)</f>
        <v>2.5000000000000001E-2</v>
      </c>
      <c r="P22">
        <f>IFERROR(ROUND(HLOOKUP(LEFT(P$1,4)&amp;"-"&amp;RIGHT(P$1,2),DATA!$D$1:$HT$52,MATCH($A22,DATA!$B:$B,0),FALSE)/HLOOKUP(LEFT(P$1,4)*1-1&amp;"-"&amp;RIGHT(P$1,2),DATA!$D$1:$HT$52,MATCH($A22,DATA!$B:$B,0),FALSE)-1,3),0)</f>
        <v>2.1000000000000001E-2</v>
      </c>
      <c r="Q22">
        <f>IFERROR(ROUND(HLOOKUP(LEFT(Q$1,4)&amp;"-"&amp;RIGHT(Q$1,2),DATA!$D$1:$HT$52,MATCH($A22,DATA!$B:$B,0),FALSE)/HLOOKUP(LEFT(Q$1,4)*1-1&amp;"-"&amp;RIGHT(Q$1,2),DATA!$D$1:$HT$52,MATCH($A22,DATA!$B:$B,0),FALSE)-1,3),0)</f>
        <v>4.8000000000000001E-2</v>
      </c>
      <c r="R22">
        <f>IFERROR(ROUND(HLOOKUP(LEFT(R$1,4)&amp;"-"&amp;RIGHT(R$1,2),DATA!$D$1:$HT$52,MATCH($A22,DATA!$B:$B,0),FALSE)/HLOOKUP(LEFT(R$1,4)*1-1&amp;"-"&amp;RIGHT(R$1,2),DATA!$D$1:$HT$52,MATCH($A22,DATA!$B:$B,0),FALSE)-1,3),0)</f>
        <v>4.1000000000000002E-2</v>
      </c>
    </row>
    <row r="23" spans="1:18" x14ac:dyDescent="0.3">
      <c r="A23" t="s">
        <v>241</v>
      </c>
      <c r="B23">
        <f>IFERROR(ROUND(HLOOKUP(LEFT(B$1,4)&amp;"-"&amp;RIGHT(B$1,2),DATA!$D$1:$HT$52,MATCH($A23,DATA!$B:$B,0),FALSE)/HLOOKUP(LEFT(B$1,4)*1-1&amp;"-"&amp;RIGHT(B$1,2),DATA!$D$1:$HT$52,MATCH($A23,DATA!$B:$B,0),FALSE)-1,3),0)</f>
        <v>0.16200000000000001</v>
      </c>
      <c r="C23">
        <f>IFERROR(ROUND(HLOOKUP(LEFT(C$1,4)&amp;"-"&amp;RIGHT(C$1,2),DATA!$D$1:$HT$52,MATCH($A23,DATA!$B:$B,0),FALSE)/HLOOKUP(LEFT(C$1,4)*1-1&amp;"-"&amp;RIGHT(C$1,2),DATA!$D$1:$HT$52,MATCH($A23,DATA!$B:$B,0),FALSE)-1,3),0)</f>
        <v>0.13600000000000001</v>
      </c>
      <c r="D23">
        <f>IFERROR(ROUND(HLOOKUP(LEFT(D$1,4)&amp;"-"&amp;RIGHT(D$1,2),DATA!$D$1:$HT$52,MATCH($A23,DATA!$B:$B,0),FALSE)/HLOOKUP(LEFT(D$1,4)*1-1&amp;"-"&amp;RIGHT(D$1,2),DATA!$D$1:$HT$52,MATCH($A23,DATA!$B:$B,0),FALSE)-1,3),0)</f>
        <v>0.10100000000000001</v>
      </c>
      <c r="E23">
        <f>IFERROR(ROUND(HLOOKUP(LEFT(E$1,4)&amp;"-"&amp;RIGHT(E$1,2),DATA!$D$1:$HT$52,MATCH($A23,DATA!$B:$B,0),FALSE)/HLOOKUP(LEFT(E$1,4)*1-1&amp;"-"&amp;RIGHT(E$1,2),DATA!$D$1:$HT$52,MATCH($A23,DATA!$B:$B,0),FALSE)-1,3),0)</f>
        <v>9.9000000000000005E-2</v>
      </c>
      <c r="F23">
        <f>IFERROR(ROUND(HLOOKUP(LEFT(F$1,4)&amp;"-"&amp;RIGHT(F$1,2),DATA!$D$1:$HT$52,MATCH($A23,DATA!$B:$B,0),FALSE)/HLOOKUP(LEFT(F$1,4)*1-1&amp;"-"&amp;RIGHT(F$1,2),DATA!$D$1:$HT$52,MATCH($A23,DATA!$B:$B,0),FALSE)-1,3),0)</f>
        <v>3.5000000000000003E-2</v>
      </c>
      <c r="G23">
        <f>IFERROR(ROUND(HLOOKUP(LEFT(G$1,4)&amp;"-"&amp;RIGHT(G$1,2),DATA!$D$1:$HT$52,MATCH($A23,DATA!$B:$B,0),FALSE)/HLOOKUP(LEFT(G$1,4)*1-1&amp;"-"&amp;RIGHT(G$1,2),DATA!$D$1:$HT$52,MATCH($A23,DATA!$B:$B,0),FALSE)-1,3),0)</f>
        <v>-5.2999999999999999E-2</v>
      </c>
      <c r="H23">
        <f>IFERROR(ROUND(HLOOKUP(LEFT(H$1,4)&amp;"-"&amp;RIGHT(H$1,2),DATA!$D$1:$HT$52,MATCH($A23,DATA!$B:$B,0),FALSE)/HLOOKUP(LEFT(H$1,4)*1-1&amp;"-"&amp;RIGHT(H$1,2),DATA!$D$1:$HT$52,MATCH($A23,DATA!$B:$B,0),FALSE)-1,3),0)</f>
        <v>-4.8000000000000001E-2</v>
      </c>
      <c r="I23">
        <f>IFERROR(ROUND(HLOOKUP(LEFT(I$1,4)&amp;"-"&amp;RIGHT(I$1,2),DATA!$D$1:$HT$52,MATCH($A23,DATA!$B:$B,0),FALSE)/HLOOKUP(LEFT(I$1,4)*1-1&amp;"-"&amp;RIGHT(I$1,2),DATA!$D$1:$HT$52,MATCH($A23,DATA!$B:$B,0),FALSE)-1,3),0)</f>
        <v>-7.1999999999999995E-2</v>
      </c>
      <c r="J23">
        <f>IFERROR(ROUND(HLOOKUP(LEFT(J$1,4)&amp;"-"&amp;RIGHT(J$1,2),DATA!$D$1:$HT$52,MATCH($A23,DATA!$B:$B,0),FALSE)/HLOOKUP(LEFT(J$1,4)*1-1&amp;"-"&amp;RIGHT(J$1,2),DATA!$D$1:$HT$52,MATCH($A23,DATA!$B:$B,0),FALSE)-1,3),0)</f>
        <v>-2.7E-2</v>
      </c>
      <c r="K23">
        <f>IFERROR(ROUND(HLOOKUP(LEFT(K$1,4)&amp;"-"&amp;RIGHT(K$1,2),DATA!$D$1:$HT$52,MATCH($A23,DATA!$B:$B,0),FALSE)/HLOOKUP(LEFT(K$1,4)*1-1&amp;"-"&amp;RIGHT(K$1,2),DATA!$D$1:$HT$52,MATCH($A23,DATA!$B:$B,0),FALSE)-1,3),0)</f>
        <v>-1.4999999999999999E-2</v>
      </c>
      <c r="L23">
        <f>IFERROR(ROUND(HLOOKUP(LEFT(L$1,4)&amp;"-"&amp;RIGHT(L$1,2),DATA!$D$1:$HT$52,MATCH($A23,DATA!$B:$B,0),FALSE)/HLOOKUP(LEFT(L$1,4)*1-1&amp;"-"&amp;RIGHT(L$1,2),DATA!$D$1:$HT$52,MATCH($A23,DATA!$B:$B,0),FALSE)-1,3),0)</f>
        <v>-0.04</v>
      </c>
      <c r="M23">
        <f>IFERROR(ROUND(HLOOKUP(LEFT(M$1,4)&amp;"-"&amp;RIGHT(M$1,2),DATA!$D$1:$HT$52,MATCH($A23,DATA!$B:$B,0),FALSE)/HLOOKUP(LEFT(M$1,4)*1-1&amp;"-"&amp;RIGHT(M$1,2),DATA!$D$1:$HT$52,MATCH($A23,DATA!$B:$B,0),FALSE)-1,3),0)</f>
        <v>2.8000000000000001E-2</v>
      </c>
      <c r="N23">
        <f>IFERROR(ROUND(HLOOKUP(LEFT(N$1,4)&amp;"-"&amp;RIGHT(N$1,2),DATA!$D$1:$HT$52,MATCH($A23,DATA!$B:$B,0),FALSE)/HLOOKUP(LEFT(N$1,4)*1-1&amp;"-"&amp;RIGHT(N$1,2),DATA!$D$1:$HT$52,MATCH($A23,DATA!$B:$B,0),FALSE)-1,3),0)</f>
        <v>7.3999999999999996E-2</v>
      </c>
      <c r="O23">
        <f>IFERROR(ROUND(HLOOKUP(LEFT(O$1,4)&amp;"-"&amp;RIGHT(O$1,2),DATA!$D$1:$HT$52,MATCH($A23,DATA!$B:$B,0),FALSE)/HLOOKUP(LEFT(O$1,4)*1-1&amp;"-"&amp;RIGHT(O$1,2),DATA!$D$1:$HT$52,MATCH($A23,DATA!$B:$B,0),FALSE)-1,3),0)</f>
        <v>4.7E-2</v>
      </c>
      <c r="P23">
        <f>IFERROR(ROUND(HLOOKUP(LEFT(P$1,4)&amp;"-"&amp;RIGHT(P$1,2),DATA!$D$1:$HT$52,MATCH($A23,DATA!$B:$B,0),FALSE)/HLOOKUP(LEFT(P$1,4)*1-1&amp;"-"&amp;RIGHT(P$1,2),DATA!$D$1:$HT$52,MATCH($A23,DATA!$B:$B,0),FALSE)-1,3),0)</f>
        <v>4.3999999999999997E-2</v>
      </c>
      <c r="Q23">
        <f>IFERROR(ROUND(HLOOKUP(LEFT(Q$1,4)&amp;"-"&amp;RIGHT(Q$1,2),DATA!$D$1:$HT$52,MATCH($A23,DATA!$B:$B,0),FALSE)/HLOOKUP(LEFT(Q$1,4)*1-1&amp;"-"&amp;RIGHT(Q$1,2),DATA!$D$1:$HT$52,MATCH($A23,DATA!$B:$B,0),FALSE)-1,3),0)</f>
        <v>7.2999999999999995E-2</v>
      </c>
      <c r="R23">
        <f>IFERROR(ROUND(HLOOKUP(LEFT(R$1,4)&amp;"-"&amp;RIGHT(R$1,2),DATA!$D$1:$HT$52,MATCH($A23,DATA!$B:$B,0),FALSE)/HLOOKUP(LEFT(R$1,4)*1-1&amp;"-"&amp;RIGHT(R$1,2),DATA!$D$1:$HT$52,MATCH($A23,DATA!$B:$B,0),FALSE)-1,3),0)</f>
        <v>7.1999999999999995E-2</v>
      </c>
    </row>
    <row r="24" spans="1:18" x14ac:dyDescent="0.3">
      <c r="A24" t="s">
        <v>235</v>
      </c>
      <c r="B24">
        <f>IFERROR(ROUND(HLOOKUP(LEFT(B$1,4)&amp;"-"&amp;RIGHT(B$1,2),DATA!$D$1:$HT$52,MATCH($A24,DATA!$B:$B,0),FALSE)/HLOOKUP(LEFT(B$1,4)*1-1&amp;"-"&amp;RIGHT(B$1,2),DATA!$D$1:$HT$52,MATCH($A24,DATA!$B:$B,0),FALSE)-1,3),0)</f>
        <v>4.2999999999999997E-2</v>
      </c>
      <c r="C24">
        <f>IFERROR(ROUND(HLOOKUP(LEFT(C$1,4)&amp;"-"&amp;RIGHT(C$1,2),DATA!$D$1:$HT$52,MATCH($A24,DATA!$B:$B,0),FALSE)/HLOOKUP(LEFT(C$1,4)*1-1&amp;"-"&amp;RIGHT(C$1,2),DATA!$D$1:$HT$52,MATCH($A24,DATA!$B:$B,0),FALSE)-1,3),0)</f>
        <v>5.0999999999999997E-2</v>
      </c>
      <c r="D24">
        <f>IFERROR(ROUND(HLOOKUP(LEFT(D$1,4)&amp;"-"&amp;RIGHT(D$1,2),DATA!$D$1:$HT$52,MATCH($A24,DATA!$B:$B,0),FALSE)/HLOOKUP(LEFT(D$1,4)*1-1&amp;"-"&amp;RIGHT(D$1,2),DATA!$D$1:$HT$52,MATCH($A24,DATA!$B:$B,0),FALSE)-1,3),0)</f>
        <v>3.4000000000000002E-2</v>
      </c>
      <c r="E24">
        <f>IFERROR(ROUND(HLOOKUP(LEFT(E$1,4)&amp;"-"&amp;RIGHT(E$1,2),DATA!$D$1:$HT$52,MATCH($A24,DATA!$B:$B,0),FALSE)/HLOOKUP(LEFT(E$1,4)*1-1&amp;"-"&amp;RIGHT(E$1,2),DATA!$D$1:$HT$52,MATCH($A24,DATA!$B:$B,0),FALSE)-1,3),0)</f>
        <v>4.8000000000000001E-2</v>
      </c>
      <c r="F24">
        <f>IFERROR(ROUND(HLOOKUP(LEFT(F$1,4)&amp;"-"&amp;RIGHT(F$1,2),DATA!$D$1:$HT$52,MATCH($A24,DATA!$B:$B,0),FALSE)/HLOOKUP(LEFT(F$1,4)*1-1&amp;"-"&amp;RIGHT(F$1,2),DATA!$D$1:$HT$52,MATCH($A24,DATA!$B:$B,0),FALSE)-1,3),0)</f>
        <v>2.9000000000000001E-2</v>
      </c>
      <c r="G24">
        <f>IFERROR(ROUND(HLOOKUP(LEFT(G$1,4)&amp;"-"&amp;RIGHT(G$1,2),DATA!$D$1:$HT$52,MATCH($A24,DATA!$B:$B,0),FALSE)/HLOOKUP(LEFT(G$1,4)*1-1&amp;"-"&amp;RIGHT(G$1,2),DATA!$D$1:$HT$52,MATCH($A24,DATA!$B:$B,0),FALSE)-1,3),0)</f>
        <v>-2.1000000000000001E-2</v>
      </c>
      <c r="H24">
        <f>IFERROR(ROUND(HLOOKUP(LEFT(H$1,4)&amp;"-"&amp;RIGHT(H$1,2),DATA!$D$1:$HT$52,MATCH($A24,DATA!$B:$B,0),FALSE)/HLOOKUP(LEFT(H$1,4)*1-1&amp;"-"&amp;RIGHT(H$1,2),DATA!$D$1:$HT$52,MATCH($A24,DATA!$B:$B,0),FALSE)-1,3),0)</f>
        <v>-7.5999999999999998E-2</v>
      </c>
      <c r="I24">
        <f>IFERROR(ROUND(HLOOKUP(LEFT(I$1,4)&amp;"-"&amp;RIGHT(I$1,2),DATA!$D$1:$HT$52,MATCH($A24,DATA!$B:$B,0),FALSE)/HLOOKUP(LEFT(I$1,4)*1-1&amp;"-"&amp;RIGHT(I$1,2),DATA!$D$1:$HT$52,MATCH($A24,DATA!$B:$B,0),FALSE)-1,3),0)</f>
        <v>-0.13800000000000001</v>
      </c>
      <c r="J24">
        <f>IFERROR(ROUND(HLOOKUP(LEFT(J$1,4)&amp;"-"&amp;RIGHT(J$1,2),DATA!$D$1:$HT$52,MATCH($A24,DATA!$B:$B,0),FALSE)/HLOOKUP(LEFT(J$1,4)*1-1&amp;"-"&amp;RIGHT(J$1,2),DATA!$D$1:$HT$52,MATCH($A24,DATA!$B:$B,0),FALSE)-1,3),0)</f>
        <v>-0.14000000000000001</v>
      </c>
      <c r="K24">
        <f>IFERROR(ROUND(HLOOKUP(LEFT(K$1,4)&amp;"-"&amp;RIGHT(K$1,2),DATA!$D$1:$HT$52,MATCH($A24,DATA!$B:$B,0),FALSE)/HLOOKUP(LEFT(K$1,4)*1-1&amp;"-"&amp;RIGHT(K$1,2),DATA!$D$1:$HT$52,MATCH($A24,DATA!$B:$B,0),FALSE)-1,3),0)</f>
        <v>-5.8999999999999997E-2</v>
      </c>
      <c r="L24">
        <f>IFERROR(ROUND(HLOOKUP(LEFT(L$1,4)&amp;"-"&amp;RIGHT(L$1,2),DATA!$D$1:$HT$52,MATCH($A24,DATA!$B:$B,0),FALSE)/HLOOKUP(LEFT(L$1,4)*1-1&amp;"-"&amp;RIGHT(L$1,2),DATA!$D$1:$HT$52,MATCH($A24,DATA!$B:$B,0),FALSE)-1,3),0)</f>
        <v>-5.5E-2</v>
      </c>
      <c r="M24">
        <f>IFERROR(ROUND(HLOOKUP(LEFT(M$1,4)&amp;"-"&amp;RIGHT(M$1,2),DATA!$D$1:$HT$52,MATCH($A24,DATA!$B:$B,0),FALSE)/HLOOKUP(LEFT(M$1,4)*1-1&amp;"-"&amp;RIGHT(M$1,2),DATA!$D$1:$HT$52,MATCH($A24,DATA!$B:$B,0),FALSE)-1,3),0)</f>
        <v>6.4000000000000001E-2</v>
      </c>
      <c r="N24">
        <f>IFERROR(ROUND(HLOOKUP(LEFT(N$1,4)&amp;"-"&amp;RIGHT(N$1,2),DATA!$D$1:$HT$52,MATCH($A24,DATA!$B:$B,0),FALSE)/HLOOKUP(LEFT(N$1,4)*1-1&amp;"-"&amp;RIGHT(N$1,2),DATA!$D$1:$HT$52,MATCH($A24,DATA!$B:$B,0),FALSE)-1,3),0)</f>
        <v>0.121</v>
      </c>
      <c r="O24">
        <f>IFERROR(ROUND(HLOOKUP(LEFT(O$1,4)&amp;"-"&amp;RIGHT(O$1,2),DATA!$D$1:$HT$52,MATCH($A24,DATA!$B:$B,0),FALSE)/HLOOKUP(LEFT(O$1,4)*1-1&amp;"-"&amp;RIGHT(O$1,2),DATA!$D$1:$HT$52,MATCH($A24,DATA!$B:$B,0),FALSE)-1,3),0)</f>
        <v>0.10199999999999999</v>
      </c>
      <c r="P24">
        <f>IFERROR(ROUND(HLOOKUP(LEFT(P$1,4)&amp;"-"&amp;RIGHT(P$1,2),DATA!$D$1:$HT$52,MATCH($A24,DATA!$B:$B,0),FALSE)/HLOOKUP(LEFT(P$1,4)*1-1&amp;"-"&amp;RIGHT(P$1,2),DATA!$D$1:$HT$52,MATCH($A24,DATA!$B:$B,0),FALSE)-1,3),0)</f>
        <v>8.5999999999999993E-2</v>
      </c>
      <c r="Q24">
        <f>IFERROR(ROUND(HLOOKUP(LEFT(Q$1,4)&amp;"-"&amp;RIGHT(Q$1,2),DATA!$D$1:$HT$52,MATCH($A24,DATA!$B:$B,0),FALSE)/HLOOKUP(LEFT(Q$1,4)*1-1&amp;"-"&amp;RIGHT(Q$1,2),DATA!$D$1:$HT$52,MATCH($A24,DATA!$B:$B,0),FALSE)-1,3),0)</f>
        <v>8.8999999999999996E-2</v>
      </c>
      <c r="R24">
        <f>IFERROR(ROUND(HLOOKUP(LEFT(R$1,4)&amp;"-"&amp;RIGHT(R$1,2),DATA!$D$1:$HT$52,MATCH($A24,DATA!$B:$B,0),FALSE)/HLOOKUP(LEFT(R$1,4)*1-1&amp;"-"&amp;RIGHT(R$1,2),DATA!$D$1:$HT$52,MATCH($A24,DATA!$B:$B,0),FALSE)-1,3),0)</f>
        <v>8.3000000000000004E-2</v>
      </c>
    </row>
    <row r="25" spans="1:18" x14ac:dyDescent="0.3">
      <c r="A25" t="s">
        <v>248</v>
      </c>
      <c r="B25">
        <f>IFERROR(ROUND(HLOOKUP(LEFT(B$1,4)&amp;"-"&amp;RIGHT(B$1,2),DATA!$D$1:$HT$52,MATCH($A25,DATA!$B:$B,0),FALSE)/HLOOKUP(LEFT(B$1,4)*1-1&amp;"-"&amp;RIGHT(B$1,2),DATA!$D$1:$HT$52,MATCH($A25,DATA!$B:$B,0),FALSE)-1,3),0)</f>
        <v>0.13300000000000001</v>
      </c>
      <c r="C25">
        <f>IFERROR(ROUND(HLOOKUP(LEFT(C$1,4)&amp;"-"&amp;RIGHT(C$1,2),DATA!$D$1:$HT$52,MATCH($A25,DATA!$B:$B,0),FALSE)/HLOOKUP(LEFT(C$1,4)*1-1&amp;"-"&amp;RIGHT(C$1,2),DATA!$D$1:$HT$52,MATCH($A25,DATA!$B:$B,0),FALSE)-1,3),0)</f>
        <v>9.7000000000000003E-2</v>
      </c>
      <c r="D25">
        <f>IFERROR(ROUND(HLOOKUP(LEFT(D$1,4)&amp;"-"&amp;RIGHT(D$1,2),DATA!$D$1:$HT$52,MATCH($A25,DATA!$B:$B,0),FALSE)/HLOOKUP(LEFT(D$1,4)*1-1&amp;"-"&amp;RIGHT(D$1,2),DATA!$D$1:$HT$52,MATCH($A25,DATA!$B:$B,0),FALSE)-1,3),0)</f>
        <v>8.2000000000000003E-2</v>
      </c>
      <c r="E25">
        <f>IFERROR(ROUND(HLOOKUP(LEFT(E$1,4)&amp;"-"&amp;RIGHT(E$1,2),DATA!$D$1:$HT$52,MATCH($A25,DATA!$B:$B,0),FALSE)/HLOOKUP(LEFT(E$1,4)*1-1&amp;"-"&amp;RIGHT(E$1,2),DATA!$D$1:$HT$52,MATCH($A25,DATA!$B:$B,0),FALSE)-1,3),0)</f>
        <v>7.5999999999999998E-2</v>
      </c>
      <c r="F25">
        <f>IFERROR(ROUND(HLOOKUP(LEFT(F$1,4)&amp;"-"&amp;RIGHT(F$1,2),DATA!$D$1:$HT$52,MATCH($A25,DATA!$B:$B,0),FALSE)/HLOOKUP(LEFT(F$1,4)*1-1&amp;"-"&amp;RIGHT(F$1,2),DATA!$D$1:$HT$52,MATCH($A25,DATA!$B:$B,0),FALSE)-1,3),0)</f>
        <v>5.5E-2</v>
      </c>
      <c r="G25">
        <f>IFERROR(ROUND(HLOOKUP(LEFT(G$1,4)&amp;"-"&amp;RIGHT(G$1,2),DATA!$D$1:$HT$52,MATCH($A25,DATA!$B:$B,0),FALSE)/HLOOKUP(LEFT(G$1,4)*1-1&amp;"-"&amp;RIGHT(G$1,2),DATA!$D$1:$HT$52,MATCH($A25,DATA!$B:$B,0),FALSE)-1,3),0)</f>
        <v>-1.2999999999999999E-2</v>
      </c>
      <c r="H25">
        <f>IFERROR(ROUND(HLOOKUP(LEFT(H$1,4)&amp;"-"&amp;RIGHT(H$1,2),DATA!$D$1:$HT$52,MATCH($A25,DATA!$B:$B,0),FALSE)/HLOOKUP(LEFT(H$1,4)*1-1&amp;"-"&amp;RIGHT(H$1,2),DATA!$D$1:$HT$52,MATCH($A25,DATA!$B:$B,0),FALSE)-1,3),0)</f>
        <v>-4.2999999999999997E-2</v>
      </c>
      <c r="I25">
        <f>IFERROR(ROUND(HLOOKUP(LEFT(I$1,4)&amp;"-"&amp;RIGHT(I$1,2),DATA!$D$1:$HT$52,MATCH($A25,DATA!$B:$B,0),FALSE)/HLOOKUP(LEFT(I$1,4)*1-1&amp;"-"&amp;RIGHT(I$1,2),DATA!$D$1:$HT$52,MATCH($A25,DATA!$B:$B,0),FALSE)-1,3),0)</f>
        <v>-0.1</v>
      </c>
      <c r="J25">
        <f>IFERROR(ROUND(HLOOKUP(LEFT(J$1,4)&amp;"-"&amp;RIGHT(J$1,2),DATA!$D$1:$HT$52,MATCH($A25,DATA!$B:$B,0),FALSE)/HLOOKUP(LEFT(J$1,4)*1-1&amp;"-"&amp;RIGHT(J$1,2),DATA!$D$1:$HT$52,MATCH($A25,DATA!$B:$B,0),FALSE)-1,3),0)</f>
        <v>-6.2E-2</v>
      </c>
      <c r="K25">
        <f>IFERROR(ROUND(HLOOKUP(LEFT(K$1,4)&amp;"-"&amp;RIGHT(K$1,2),DATA!$D$1:$HT$52,MATCH($A25,DATA!$B:$B,0),FALSE)/HLOOKUP(LEFT(K$1,4)*1-1&amp;"-"&amp;RIGHT(K$1,2),DATA!$D$1:$HT$52,MATCH($A25,DATA!$B:$B,0),FALSE)-1,3),0)</f>
        <v>-5.5E-2</v>
      </c>
      <c r="L25">
        <f>IFERROR(ROUND(HLOOKUP(LEFT(L$1,4)&amp;"-"&amp;RIGHT(L$1,2),DATA!$D$1:$HT$52,MATCH($A25,DATA!$B:$B,0),FALSE)/HLOOKUP(LEFT(L$1,4)*1-1&amp;"-"&amp;RIGHT(L$1,2),DATA!$D$1:$HT$52,MATCH($A25,DATA!$B:$B,0),FALSE)-1,3),0)</f>
        <v>-6.5000000000000002E-2</v>
      </c>
      <c r="M25">
        <f>IFERROR(ROUND(HLOOKUP(LEFT(M$1,4)&amp;"-"&amp;RIGHT(M$1,2),DATA!$D$1:$HT$52,MATCH($A25,DATA!$B:$B,0),FALSE)/HLOOKUP(LEFT(M$1,4)*1-1&amp;"-"&amp;RIGHT(M$1,2),DATA!$D$1:$HT$52,MATCH($A25,DATA!$B:$B,0),FALSE)-1,3),0)</f>
        <v>5.3999999999999999E-2</v>
      </c>
      <c r="N25">
        <f>IFERROR(ROUND(HLOOKUP(LEFT(N$1,4)&amp;"-"&amp;RIGHT(N$1,2),DATA!$D$1:$HT$52,MATCH($A25,DATA!$B:$B,0),FALSE)/HLOOKUP(LEFT(N$1,4)*1-1&amp;"-"&amp;RIGHT(N$1,2),DATA!$D$1:$HT$52,MATCH($A25,DATA!$B:$B,0),FALSE)-1,3),0)</f>
        <v>8.7999999999999995E-2</v>
      </c>
      <c r="O25">
        <f>IFERROR(ROUND(HLOOKUP(LEFT(O$1,4)&amp;"-"&amp;RIGHT(O$1,2),DATA!$D$1:$HT$52,MATCH($A25,DATA!$B:$B,0),FALSE)/HLOOKUP(LEFT(O$1,4)*1-1&amp;"-"&amp;RIGHT(O$1,2),DATA!$D$1:$HT$52,MATCH($A25,DATA!$B:$B,0),FALSE)-1,3),0)</f>
        <v>4.4999999999999998E-2</v>
      </c>
      <c r="P25">
        <f>IFERROR(ROUND(HLOOKUP(LEFT(P$1,4)&amp;"-"&amp;RIGHT(P$1,2),DATA!$D$1:$HT$52,MATCH($A25,DATA!$B:$B,0),FALSE)/HLOOKUP(LEFT(P$1,4)*1-1&amp;"-"&amp;RIGHT(P$1,2),DATA!$D$1:$HT$52,MATCH($A25,DATA!$B:$B,0),FALSE)-1,3),0)</f>
        <v>6.2E-2</v>
      </c>
      <c r="Q25">
        <f>IFERROR(ROUND(HLOOKUP(LEFT(Q$1,4)&amp;"-"&amp;RIGHT(Q$1,2),DATA!$D$1:$HT$52,MATCH($A25,DATA!$B:$B,0),FALSE)/HLOOKUP(LEFT(Q$1,4)*1-1&amp;"-"&amp;RIGHT(Q$1,2),DATA!$D$1:$HT$52,MATCH($A25,DATA!$B:$B,0),FALSE)-1,3),0)</f>
        <v>7.9000000000000001E-2</v>
      </c>
      <c r="R25">
        <f>IFERROR(ROUND(HLOOKUP(LEFT(R$1,4)&amp;"-"&amp;RIGHT(R$1,2),DATA!$D$1:$HT$52,MATCH($A25,DATA!$B:$B,0),FALSE)/HLOOKUP(LEFT(R$1,4)*1-1&amp;"-"&amp;RIGHT(R$1,2),DATA!$D$1:$HT$52,MATCH($A25,DATA!$B:$B,0),FALSE)-1,3),0)</f>
        <v>8.1000000000000003E-2</v>
      </c>
    </row>
    <row r="26" spans="1:18" x14ac:dyDescent="0.3">
      <c r="A26" t="s">
        <v>258</v>
      </c>
      <c r="B26">
        <f>IFERROR(ROUND(HLOOKUP(LEFT(B$1,4)&amp;"-"&amp;RIGHT(B$1,2),DATA!$D$1:$HT$52,MATCH($A26,DATA!$B:$B,0),FALSE)/HLOOKUP(LEFT(B$1,4)*1-1&amp;"-"&amp;RIGHT(B$1,2),DATA!$D$1:$HT$52,MATCH($A26,DATA!$B:$B,0),FALSE)-1,3),0)</f>
        <v>1.4999999999999999E-2</v>
      </c>
      <c r="C26">
        <f>IFERROR(ROUND(HLOOKUP(LEFT(C$1,4)&amp;"-"&amp;RIGHT(C$1,2),DATA!$D$1:$HT$52,MATCH($A26,DATA!$B:$B,0),FALSE)/HLOOKUP(LEFT(C$1,4)*1-1&amp;"-"&amp;RIGHT(C$1,2),DATA!$D$1:$HT$52,MATCH($A26,DATA!$B:$B,0),FALSE)-1,3),0)</f>
        <v>1.7999999999999999E-2</v>
      </c>
      <c r="D26">
        <f>IFERROR(ROUND(HLOOKUP(LEFT(D$1,4)&amp;"-"&amp;RIGHT(D$1,2),DATA!$D$1:$HT$52,MATCH($A26,DATA!$B:$B,0),FALSE)/HLOOKUP(LEFT(D$1,4)*1-1&amp;"-"&amp;RIGHT(D$1,2),DATA!$D$1:$HT$52,MATCH($A26,DATA!$B:$B,0),FALSE)-1,3),0)</f>
        <v>1E-3</v>
      </c>
      <c r="E26">
        <f>IFERROR(ROUND(HLOOKUP(LEFT(E$1,4)&amp;"-"&amp;RIGHT(E$1,2),DATA!$D$1:$HT$52,MATCH($A26,DATA!$B:$B,0),FALSE)/HLOOKUP(LEFT(E$1,4)*1-1&amp;"-"&amp;RIGHT(E$1,2),DATA!$D$1:$HT$52,MATCH($A26,DATA!$B:$B,0),FALSE)-1,3),0)</f>
        <v>0.182</v>
      </c>
      <c r="F26">
        <f>IFERROR(ROUND(HLOOKUP(LEFT(F$1,4)&amp;"-"&amp;RIGHT(F$1,2),DATA!$D$1:$HT$52,MATCH($A26,DATA!$B:$B,0),FALSE)/HLOOKUP(LEFT(F$1,4)*1-1&amp;"-"&amp;RIGHT(F$1,2),DATA!$D$1:$HT$52,MATCH($A26,DATA!$B:$B,0),FALSE)-1,3),0)</f>
        <v>0.218</v>
      </c>
      <c r="G26">
        <f>IFERROR(ROUND(HLOOKUP(LEFT(G$1,4)&amp;"-"&amp;RIGHT(G$1,2),DATA!$D$1:$HT$52,MATCH($A26,DATA!$B:$B,0),FALSE)/HLOOKUP(LEFT(G$1,4)*1-1&amp;"-"&amp;RIGHT(G$1,2),DATA!$D$1:$HT$52,MATCH($A26,DATA!$B:$B,0),FALSE)-1,3),0)</f>
        <v>0.13700000000000001</v>
      </c>
      <c r="H26">
        <f>IFERROR(ROUND(HLOOKUP(LEFT(H$1,4)&amp;"-"&amp;RIGHT(H$1,2),DATA!$D$1:$HT$52,MATCH($A26,DATA!$B:$B,0),FALSE)/HLOOKUP(LEFT(H$1,4)*1-1&amp;"-"&amp;RIGHT(H$1,2),DATA!$D$1:$HT$52,MATCH($A26,DATA!$B:$B,0),FALSE)-1,3),0)</f>
        <v>1.0999999999999999E-2</v>
      </c>
      <c r="I26">
        <f>IFERROR(ROUND(HLOOKUP(LEFT(I$1,4)&amp;"-"&amp;RIGHT(I$1,2),DATA!$D$1:$HT$52,MATCH($A26,DATA!$B:$B,0),FALSE)/HLOOKUP(LEFT(I$1,4)*1-1&amp;"-"&amp;RIGHT(I$1,2),DATA!$D$1:$HT$52,MATCH($A26,DATA!$B:$B,0),FALSE)-1,3),0)</f>
        <v>-3.9E-2</v>
      </c>
      <c r="J26">
        <f>IFERROR(ROUND(HLOOKUP(LEFT(J$1,4)&amp;"-"&amp;RIGHT(J$1,2),DATA!$D$1:$HT$52,MATCH($A26,DATA!$B:$B,0),FALSE)/HLOOKUP(LEFT(J$1,4)*1-1&amp;"-"&amp;RIGHT(J$1,2),DATA!$D$1:$HT$52,MATCH($A26,DATA!$B:$B,0),FALSE)-1,3),0)</f>
        <v>-5.0000000000000001E-3</v>
      </c>
      <c r="K26">
        <f>IFERROR(ROUND(HLOOKUP(LEFT(K$1,4)&amp;"-"&amp;RIGHT(K$1,2),DATA!$D$1:$HT$52,MATCH($A26,DATA!$B:$B,0),FALSE)/HLOOKUP(LEFT(K$1,4)*1-1&amp;"-"&amp;RIGHT(K$1,2),DATA!$D$1:$HT$52,MATCH($A26,DATA!$B:$B,0),FALSE)-1,3),0)</f>
        <v>3.7999999999999999E-2</v>
      </c>
      <c r="L26">
        <f>IFERROR(ROUND(HLOOKUP(LEFT(L$1,4)&amp;"-"&amp;RIGHT(L$1,2),DATA!$D$1:$HT$52,MATCH($A26,DATA!$B:$B,0),FALSE)/HLOOKUP(LEFT(L$1,4)*1-1&amp;"-"&amp;RIGHT(L$1,2),DATA!$D$1:$HT$52,MATCH($A26,DATA!$B:$B,0),FALSE)-1,3),0)</f>
        <v>-8.3000000000000004E-2</v>
      </c>
      <c r="M26">
        <f>IFERROR(ROUND(HLOOKUP(LEFT(M$1,4)&amp;"-"&amp;RIGHT(M$1,2),DATA!$D$1:$HT$52,MATCH($A26,DATA!$B:$B,0),FALSE)/HLOOKUP(LEFT(M$1,4)*1-1&amp;"-"&amp;RIGHT(M$1,2),DATA!$D$1:$HT$52,MATCH($A26,DATA!$B:$B,0),FALSE)-1,3),0)</f>
        <v>-2.1999999999999999E-2</v>
      </c>
      <c r="N26">
        <f>IFERROR(ROUND(HLOOKUP(LEFT(N$1,4)&amp;"-"&amp;RIGHT(N$1,2),DATA!$D$1:$HT$52,MATCH($A26,DATA!$B:$B,0),FALSE)/HLOOKUP(LEFT(N$1,4)*1-1&amp;"-"&amp;RIGHT(N$1,2),DATA!$D$1:$HT$52,MATCH($A26,DATA!$B:$B,0),FALSE)-1,3),0)</f>
        <v>-3.6999999999999998E-2</v>
      </c>
      <c r="O26">
        <f>IFERROR(ROUND(HLOOKUP(LEFT(O$1,4)&amp;"-"&amp;RIGHT(O$1,2),DATA!$D$1:$HT$52,MATCH($A26,DATA!$B:$B,0),FALSE)/HLOOKUP(LEFT(O$1,4)*1-1&amp;"-"&amp;RIGHT(O$1,2),DATA!$D$1:$HT$52,MATCH($A26,DATA!$B:$B,0),FALSE)-1,3),0)</f>
        <v>6.0000000000000001E-3</v>
      </c>
      <c r="P26">
        <f>IFERROR(ROUND(HLOOKUP(LEFT(P$1,4)&amp;"-"&amp;RIGHT(P$1,2),DATA!$D$1:$HT$52,MATCH($A26,DATA!$B:$B,0),FALSE)/HLOOKUP(LEFT(P$1,4)*1-1&amp;"-"&amp;RIGHT(P$1,2),DATA!$D$1:$HT$52,MATCH($A26,DATA!$B:$B,0),FALSE)-1,3),0)</f>
        <v>6.9000000000000006E-2</v>
      </c>
      <c r="Q26">
        <f>IFERROR(ROUND(HLOOKUP(LEFT(Q$1,4)&amp;"-"&amp;RIGHT(Q$1,2),DATA!$D$1:$HT$52,MATCH($A26,DATA!$B:$B,0),FALSE)/HLOOKUP(LEFT(Q$1,4)*1-1&amp;"-"&amp;RIGHT(Q$1,2),DATA!$D$1:$HT$52,MATCH($A26,DATA!$B:$B,0),FALSE)-1,3),0)</f>
        <v>7.5999999999999998E-2</v>
      </c>
      <c r="R26">
        <f>IFERROR(ROUND(HLOOKUP(LEFT(R$1,4)&amp;"-"&amp;RIGHT(R$1,2),DATA!$D$1:$HT$52,MATCH($A26,DATA!$B:$B,0),FALSE)/HLOOKUP(LEFT(R$1,4)*1-1&amp;"-"&amp;RIGHT(R$1,2),DATA!$D$1:$HT$52,MATCH($A26,DATA!$B:$B,0),FALSE)-1,3),0)</f>
        <v>0.02</v>
      </c>
    </row>
    <row r="27" spans="1:18" x14ac:dyDescent="0.3">
      <c r="A27" t="s">
        <v>245</v>
      </c>
      <c r="B27">
        <f>IFERROR(ROUND(HLOOKUP(LEFT(B$1,4)&amp;"-"&amp;RIGHT(B$1,2),DATA!$D$1:$HT$52,MATCH($A27,DATA!$B:$B,0),FALSE)/HLOOKUP(LEFT(B$1,4)*1-1&amp;"-"&amp;RIGHT(B$1,2),DATA!$D$1:$HT$52,MATCH($A27,DATA!$B:$B,0),FALSE)-1,3),0)</f>
        <v>6.5000000000000002E-2</v>
      </c>
      <c r="C27">
        <f>IFERROR(ROUND(HLOOKUP(LEFT(C$1,4)&amp;"-"&amp;RIGHT(C$1,2),DATA!$D$1:$HT$52,MATCH($A27,DATA!$B:$B,0),FALSE)/HLOOKUP(LEFT(C$1,4)*1-1&amp;"-"&amp;RIGHT(C$1,2),DATA!$D$1:$HT$52,MATCH($A27,DATA!$B:$B,0),FALSE)-1,3),0)</f>
        <v>6.4000000000000001E-2</v>
      </c>
      <c r="D27">
        <f>IFERROR(ROUND(HLOOKUP(LEFT(D$1,4)&amp;"-"&amp;RIGHT(D$1,2),DATA!$D$1:$HT$52,MATCH($A27,DATA!$B:$B,0),FALSE)/HLOOKUP(LEFT(D$1,4)*1-1&amp;"-"&amp;RIGHT(D$1,2),DATA!$D$1:$HT$52,MATCH($A27,DATA!$B:$B,0),FALSE)-1,3),0)</f>
        <v>4.4999999999999998E-2</v>
      </c>
      <c r="E27">
        <f>IFERROR(ROUND(HLOOKUP(LEFT(E$1,4)&amp;"-"&amp;RIGHT(E$1,2),DATA!$D$1:$HT$52,MATCH($A27,DATA!$B:$B,0),FALSE)/HLOOKUP(LEFT(E$1,4)*1-1&amp;"-"&amp;RIGHT(E$1,2),DATA!$D$1:$HT$52,MATCH($A27,DATA!$B:$B,0),FALSE)-1,3),0)</f>
        <v>2.7E-2</v>
      </c>
      <c r="F27">
        <f>IFERROR(ROUND(HLOOKUP(LEFT(F$1,4)&amp;"-"&amp;RIGHT(F$1,2),DATA!$D$1:$HT$52,MATCH($A27,DATA!$B:$B,0),FALSE)/HLOOKUP(LEFT(F$1,4)*1-1&amp;"-"&amp;RIGHT(F$1,2),DATA!$D$1:$HT$52,MATCH($A27,DATA!$B:$B,0),FALSE)-1,3),0)</f>
        <v>5.7000000000000002E-2</v>
      </c>
      <c r="G27">
        <f>IFERROR(ROUND(HLOOKUP(LEFT(G$1,4)&amp;"-"&amp;RIGHT(G$1,2),DATA!$D$1:$HT$52,MATCH($A27,DATA!$B:$B,0),FALSE)/HLOOKUP(LEFT(G$1,4)*1-1&amp;"-"&amp;RIGHT(G$1,2),DATA!$D$1:$HT$52,MATCH($A27,DATA!$B:$B,0),FALSE)-1,3),0)</f>
        <v>2.9000000000000001E-2</v>
      </c>
      <c r="H27">
        <f>IFERROR(ROUND(HLOOKUP(LEFT(H$1,4)&amp;"-"&amp;RIGHT(H$1,2),DATA!$D$1:$HT$52,MATCH($A27,DATA!$B:$B,0),FALSE)/HLOOKUP(LEFT(H$1,4)*1-1&amp;"-"&amp;RIGHT(H$1,2),DATA!$D$1:$HT$52,MATCH($A27,DATA!$B:$B,0),FALSE)-1,3),0)</f>
        <v>-6.0000000000000001E-3</v>
      </c>
      <c r="I27">
        <f>IFERROR(ROUND(HLOOKUP(LEFT(I$1,4)&amp;"-"&amp;RIGHT(I$1,2),DATA!$D$1:$HT$52,MATCH($A27,DATA!$B:$B,0),FALSE)/HLOOKUP(LEFT(I$1,4)*1-1&amp;"-"&amp;RIGHT(I$1,2),DATA!$D$1:$HT$52,MATCH($A27,DATA!$B:$B,0),FALSE)-1,3),0)</f>
        <v>-0.03</v>
      </c>
      <c r="J27">
        <f>IFERROR(ROUND(HLOOKUP(LEFT(J$1,4)&amp;"-"&amp;RIGHT(J$1,2),DATA!$D$1:$HT$52,MATCH($A27,DATA!$B:$B,0),FALSE)/HLOOKUP(LEFT(J$1,4)*1-1&amp;"-"&amp;RIGHT(J$1,2),DATA!$D$1:$HT$52,MATCH($A27,DATA!$B:$B,0),FALSE)-1,3),0)</f>
        <v>-3.4000000000000002E-2</v>
      </c>
      <c r="K27">
        <f>IFERROR(ROUND(HLOOKUP(LEFT(K$1,4)&amp;"-"&amp;RIGHT(K$1,2),DATA!$D$1:$HT$52,MATCH($A27,DATA!$B:$B,0),FALSE)/HLOOKUP(LEFT(K$1,4)*1-1&amp;"-"&amp;RIGHT(K$1,2),DATA!$D$1:$HT$52,MATCH($A27,DATA!$B:$B,0),FALSE)-1,3),0)</f>
        <v>-2.4E-2</v>
      </c>
      <c r="L27">
        <f>IFERROR(ROUND(HLOOKUP(LEFT(L$1,4)&amp;"-"&amp;RIGHT(L$1,2),DATA!$D$1:$HT$52,MATCH($A27,DATA!$B:$B,0),FALSE)/HLOOKUP(LEFT(L$1,4)*1-1&amp;"-"&amp;RIGHT(L$1,2),DATA!$D$1:$HT$52,MATCH($A27,DATA!$B:$B,0),FALSE)-1,3),0)</f>
        <v>-4.1000000000000002E-2</v>
      </c>
      <c r="M27">
        <f>IFERROR(ROUND(HLOOKUP(LEFT(M$1,4)&amp;"-"&amp;RIGHT(M$1,2),DATA!$D$1:$HT$52,MATCH($A27,DATA!$B:$B,0),FALSE)/HLOOKUP(LEFT(M$1,4)*1-1&amp;"-"&amp;RIGHT(M$1,2),DATA!$D$1:$HT$52,MATCH($A27,DATA!$B:$B,0),FALSE)-1,3),0)</f>
        <v>2E-3</v>
      </c>
      <c r="N27">
        <f>IFERROR(ROUND(HLOOKUP(LEFT(N$1,4)&amp;"-"&amp;RIGHT(N$1,2),DATA!$D$1:$HT$52,MATCH($A27,DATA!$B:$B,0),FALSE)/HLOOKUP(LEFT(N$1,4)*1-1&amp;"-"&amp;RIGHT(N$1,2),DATA!$D$1:$HT$52,MATCH($A27,DATA!$B:$B,0),FALSE)-1,3),0)</f>
        <v>0.02</v>
      </c>
      <c r="O27">
        <f>IFERROR(ROUND(HLOOKUP(LEFT(O$1,4)&amp;"-"&amp;RIGHT(O$1,2),DATA!$D$1:$HT$52,MATCH($A27,DATA!$B:$B,0),FALSE)/HLOOKUP(LEFT(O$1,4)*1-1&amp;"-"&amp;RIGHT(O$1,2),DATA!$D$1:$HT$52,MATCH($A27,DATA!$B:$B,0),FALSE)-1,3),0)</f>
        <v>1.7000000000000001E-2</v>
      </c>
      <c r="P27">
        <f>IFERROR(ROUND(HLOOKUP(LEFT(P$1,4)&amp;"-"&amp;RIGHT(P$1,2),DATA!$D$1:$HT$52,MATCH($A27,DATA!$B:$B,0),FALSE)/HLOOKUP(LEFT(P$1,4)*1-1&amp;"-"&amp;RIGHT(P$1,2),DATA!$D$1:$HT$52,MATCH($A27,DATA!$B:$B,0),FALSE)-1,3),0)</f>
        <v>4.8000000000000001E-2</v>
      </c>
      <c r="Q27">
        <f>IFERROR(ROUND(HLOOKUP(LEFT(Q$1,4)&amp;"-"&amp;RIGHT(Q$1,2),DATA!$D$1:$HT$52,MATCH($A27,DATA!$B:$B,0),FALSE)/HLOOKUP(LEFT(Q$1,4)*1-1&amp;"-"&amp;RIGHT(Q$1,2),DATA!$D$1:$HT$52,MATCH($A27,DATA!$B:$B,0),FALSE)-1,3),0)</f>
        <v>4.7E-2</v>
      </c>
      <c r="R27">
        <f>IFERROR(ROUND(HLOOKUP(LEFT(R$1,4)&amp;"-"&amp;RIGHT(R$1,2),DATA!$D$1:$HT$52,MATCH($A27,DATA!$B:$B,0),FALSE)/HLOOKUP(LEFT(R$1,4)*1-1&amp;"-"&amp;RIGHT(R$1,2),DATA!$D$1:$HT$52,MATCH($A27,DATA!$B:$B,0),FALSE)-1,3),0)</f>
        <v>5.8999999999999997E-2</v>
      </c>
    </row>
    <row r="28" spans="1:18" x14ac:dyDescent="0.3">
      <c r="A28" t="s">
        <v>271</v>
      </c>
      <c r="B28">
        <f>IFERROR(ROUND(HLOOKUP(LEFT(B$1,4)&amp;"-"&amp;RIGHT(B$1,2),DATA!$D$1:$HT$52,MATCH($A28,DATA!$B:$B,0),FALSE)/HLOOKUP(LEFT(B$1,4)*1-1&amp;"-"&amp;RIGHT(B$1,2),DATA!$D$1:$HT$52,MATCH($A28,DATA!$B:$B,0),FALSE)-1,3),0)</f>
        <v>5.3999999999999999E-2</v>
      </c>
      <c r="C28">
        <f>IFERROR(ROUND(HLOOKUP(LEFT(C$1,4)&amp;"-"&amp;RIGHT(C$1,2),DATA!$D$1:$HT$52,MATCH($A28,DATA!$B:$B,0),FALSE)/HLOOKUP(LEFT(C$1,4)*1-1&amp;"-"&amp;RIGHT(C$1,2),DATA!$D$1:$HT$52,MATCH($A28,DATA!$B:$B,0),FALSE)-1,3),0)</f>
        <v>3.4000000000000002E-2</v>
      </c>
      <c r="D28">
        <f>IFERROR(ROUND(HLOOKUP(LEFT(D$1,4)&amp;"-"&amp;RIGHT(D$1,2),DATA!$D$1:$HT$52,MATCH($A28,DATA!$B:$B,0),FALSE)/HLOOKUP(LEFT(D$1,4)*1-1&amp;"-"&amp;RIGHT(D$1,2),DATA!$D$1:$HT$52,MATCH($A28,DATA!$B:$B,0),FALSE)-1,3),0)</f>
        <v>-5.2999999999999999E-2</v>
      </c>
      <c r="E28">
        <f>IFERROR(ROUND(HLOOKUP(LEFT(E$1,4)&amp;"-"&amp;RIGHT(E$1,2),DATA!$D$1:$HT$52,MATCH($A28,DATA!$B:$B,0),FALSE)/HLOOKUP(LEFT(E$1,4)*1-1&amp;"-"&amp;RIGHT(E$1,2),DATA!$D$1:$HT$52,MATCH($A28,DATA!$B:$B,0),FALSE)-1,3),0)</f>
        <v>8.2000000000000003E-2</v>
      </c>
      <c r="F28">
        <f>IFERROR(ROUND(HLOOKUP(LEFT(F$1,4)&amp;"-"&amp;RIGHT(F$1,2),DATA!$D$1:$HT$52,MATCH($A28,DATA!$B:$B,0),FALSE)/HLOOKUP(LEFT(F$1,4)*1-1&amp;"-"&amp;RIGHT(F$1,2),DATA!$D$1:$HT$52,MATCH($A28,DATA!$B:$B,0),FALSE)-1,3),0)</f>
        <v>7.4999999999999997E-2</v>
      </c>
      <c r="G28">
        <f>IFERROR(ROUND(HLOOKUP(LEFT(G$1,4)&amp;"-"&amp;RIGHT(G$1,2),DATA!$D$1:$HT$52,MATCH($A28,DATA!$B:$B,0),FALSE)/HLOOKUP(LEFT(G$1,4)*1-1&amp;"-"&amp;RIGHT(G$1,2),DATA!$D$1:$HT$52,MATCH($A28,DATA!$B:$B,0),FALSE)-1,3),0)</f>
        <v>7.4999999999999997E-2</v>
      </c>
      <c r="H28">
        <f>IFERROR(ROUND(HLOOKUP(LEFT(H$1,4)&amp;"-"&amp;RIGHT(H$1,2),DATA!$D$1:$HT$52,MATCH($A28,DATA!$B:$B,0),FALSE)/HLOOKUP(LEFT(H$1,4)*1-1&amp;"-"&amp;RIGHT(H$1,2),DATA!$D$1:$HT$52,MATCH($A28,DATA!$B:$B,0),FALSE)-1,3),0)</f>
        <v>4.3999999999999997E-2</v>
      </c>
      <c r="I28">
        <f>IFERROR(ROUND(HLOOKUP(LEFT(I$1,4)&amp;"-"&amp;RIGHT(I$1,2),DATA!$D$1:$HT$52,MATCH($A28,DATA!$B:$B,0),FALSE)/HLOOKUP(LEFT(I$1,4)*1-1&amp;"-"&amp;RIGHT(I$1,2),DATA!$D$1:$HT$52,MATCH($A28,DATA!$B:$B,0),FALSE)-1,3),0)</f>
        <v>0.01</v>
      </c>
      <c r="J28">
        <f>IFERROR(ROUND(HLOOKUP(LEFT(J$1,4)&amp;"-"&amp;RIGHT(J$1,2),DATA!$D$1:$HT$52,MATCH($A28,DATA!$B:$B,0),FALSE)/HLOOKUP(LEFT(J$1,4)*1-1&amp;"-"&amp;RIGHT(J$1,2),DATA!$D$1:$HT$52,MATCH($A28,DATA!$B:$B,0),FALSE)-1,3),0)</f>
        <v>-8.9999999999999993E-3</v>
      </c>
      <c r="K28">
        <f>IFERROR(ROUND(HLOOKUP(LEFT(K$1,4)&amp;"-"&amp;RIGHT(K$1,2),DATA!$D$1:$HT$52,MATCH($A28,DATA!$B:$B,0),FALSE)/HLOOKUP(LEFT(K$1,4)*1-1&amp;"-"&amp;RIGHT(K$1,2),DATA!$D$1:$HT$52,MATCH($A28,DATA!$B:$B,0),FALSE)-1,3),0)</f>
        <v>-1E-3</v>
      </c>
      <c r="L28">
        <f>IFERROR(ROUND(HLOOKUP(LEFT(L$1,4)&amp;"-"&amp;RIGHT(L$1,2),DATA!$D$1:$HT$52,MATCH($A28,DATA!$B:$B,0),FALSE)/HLOOKUP(LEFT(L$1,4)*1-1&amp;"-"&amp;RIGHT(L$1,2),DATA!$D$1:$HT$52,MATCH($A28,DATA!$B:$B,0),FALSE)-1,3),0)</f>
        <v>-1.2999999999999999E-2</v>
      </c>
      <c r="M28">
        <f>IFERROR(ROUND(HLOOKUP(LEFT(M$1,4)&amp;"-"&amp;RIGHT(M$1,2),DATA!$D$1:$HT$52,MATCH($A28,DATA!$B:$B,0),FALSE)/HLOOKUP(LEFT(M$1,4)*1-1&amp;"-"&amp;RIGHT(M$1,2),DATA!$D$1:$HT$52,MATCH($A28,DATA!$B:$B,0),FALSE)-1,3),0)</f>
        <v>2.5000000000000001E-2</v>
      </c>
      <c r="N28">
        <f>IFERROR(ROUND(HLOOKUP(LEFT(N$1,4)&amp;"-"&amp;RIGHT(N$1,2),DATA!$D$1:$HT$52,MATCH($A28,DATA!$B:$B,0),FALSE)/HLOOKUP(LEFT(N$1,4)*1-1&amp;"-"&amp;RIGHT(N$1,2),DATA!$D$1:$HT$52,MATCH($A28,DATA!$B:$B,0),FALSE)-1,3),0)</f>
        <v>2.7E-2</v>
      </c>
      <c r="O28">
        <f>IFERROR(ROUND(HLOOKUP(LEFT(O$1,4)&amp;"-"&amp;RIGHT(O$1,2),DATA!$D$1:$HT$52,MATCH($A28,DATA!$B:$B,0),FALSE)/HLOOKUP(LEFT(O$1,4)*1-1&amp;"-"&amp;RIGHT(O$1,2),DATA!$D$1:$HT$52,MATCH($A28,DATA!$B:$B,0),FALSE)-1,3),0)</f>
        <v>2.5999999999999999E-2</v>
      </c>
      <c r="P28">
        <f>IFERROR(ROUND(HLOOKUP(LEFT(P$1,4)&amp;"-"&amp;RIGHT(P$1,2),DATA!$D$1:$HT$52,MATCH($A28,DATA!$B:$B,0),FALSE)/HLOOKUP(LEFT(P$1,4)*1-1&amp;"-"&amp;RIGHT(P$1,2),DATA!$D$1:$HT$52,MATCH($A28,DATA!$B:$B,0),FALSE)-1,3),0)</f>
        <v>2.5999999999999999E-2</v>
      </c>
      <c r="Q28">
        <f>IFERROR(ROUND(HLOOKUP(LEFT(Q$1,4)&amp;"-"&amp;RIGHT(Q$1,2),DATA!$D$1:$HT$52,MATCH($A28,DATA!$B:$B,0),FALSE)/HLOOKUP(LEFT(Q$1,4)*1-1&amp;"-"&amp;RIGHT(Q$1,2),DATA!$D$1:$HT$52,MATCH($A28,DATA!$B:$B,0),FALSE)-1,3),0)</f>
        <v>5.6000000000000001E-2</v>
      </c>
      <c r="R28">
        <f>IFERROR(ROUND(HLOOKUP(LEFT(R$1,4)&amp;"-"&amp;RIGHT(R$1,2),DATA!$D$1:$HT$52,MATCH($A28,DATA!$B:$B,0),FALSE)/HLOOKUP(LEFT(R$1,4)*1-1&amp;"-"&amp;RIGHT(R$1,2),DATA!$D$1:$HT$52,MATCH($A28,DATA!$B:$B,0),FALSE)-1,3),0)</f>
        <v>2.9000000000000001E-2</v>
      </c>
    </row>
    <row r="29" spans="1:18" x14ac:dyDescent="0.3">
      <c r="A29" t="s">
        <v>265</v>
      </c>
      <c r="B29">
        <f>IFERROR(ROUND(HLOOKUP(LEFT(B$1,4)&amp;"-"&amp;RIGHT(B$1,2),DATA!$D$1:$HT$52,MATCH($A29,DATA!$B:$B,0),FALSE)/HLOOKUP(LEFT(B$1,4)*1-1&amp;"-"&amp;RIGHT(B$1,2),DATA!$D$1:$HT$52,MATCH($A29,DATA!$B:$B,0),FALSE)-1,3),0)</f>
        <v>-0.151</v>
      </c>
      <c r="C29">
        <f>IFERROR(ROUND(HLOOKUP(LEFT(C$1,4)&amp;"-"&amp;RIGHT(C$1,2),DATA!$D$1:$HT$52,MATCH($A29,DATA!$B:$B,0),FALSE)/HLOOKUP(LEFT(C$1,4)*1-1&amp;"-"&amp;RIGHT(C$1,2),DATA!$D$1:$HT$52,MATCH($A29,DATA!$B:$B,0),FALSE)-1,3),0)</f>
        <v>4.2000000000000003E-2</v>
      </c>
      <c r="D29">
        <f>IFERROR(ROUND(HLOOKUP(LEFT(D$1,4)&amp;"-"&amp;RIGHT(D$1,2),DATA!$D$1:$HT$52,MATCH($A29,DATA!$B:$B,0),FALSE)/HLOOKUP(LEFT(D$1,4)*1-1&amp;"-"&amp;RIGHT(D$1,2),DATA!$D$1:$HT$52,MATCH($A29,DATA!$B:$B,0),FALSE)-1,3),0)</f>
        <v>7.3999999999999996E-2</v>
      </c>
      <c r="E29">
        <f>IFERROR(ROUND(HLOOKUP(LEFT(E$1,4)&amp;"-"&amp;RIGHT(E$1,2),DATA!$D$1:$HT$52,MATCH($A29,DATA!$B:$B,0),FALSE)/HLOOKUP(LEFT(E$1,4)*1-1&amp;"-"&amp;RIGHT(E$1,2),DATA!$D$1:$HT$52,MATCH($A29,DATA!$B:$B,0),FALSE)-1,3),0)</f>
        <v>7.6999999999999999E-2</v>
      </c>
      <c r="F29">
        <f>IFERROR(ROUND(HLOOKUP(LEFT(F$1,4)&amp;"-"&amp;RIGHT(F$1,2),DATA!$D$1:$HT$52,MATCH($A29,DATA!$B:$B,0),FALSE)/HLOOKUP(LEFT(F$1,4)*1-1&amp;"-"&amp;RIGHT(F$1,2),DATA!$D$1:$HT$52,MATCH($A29,DATA!$B:$B,0),FALSE)-1,3),0)</f>
        <v>4.5999999999999999E-2</v>
      </c>
      <c r="G29">
        <f>IFERROR(ROUND(HLOOKUP(LEFT(G$1,4)&amp;"-"&amp;RIGHT(G$1,2),DATA!$D$1:$HT$52,MATCH($A29,DATA!$B:$B,0),FALSE)/HLOOKUP(LEFT(G$1,4)*1-1&amp;"-"&amp;RIGHT(G$1,2),DATA!$D$1:$HT$52,MATCH($A29,DATA!$B:$B,0),FALSE)-1,3),0)</f>
        <v>3.2000000000000001E-2</v>
      </c>
      <c r="H29">
        <f>IFERROR(ROUND(HLOOKUP(LEFT(H$1,4)&amp;"-"&amp;RIGHT(H$1,2),DATA!$D$1:$HT$52,MATCH($A29,DATA!$B:$B,0),FALSE)/HLOOKUP(LEFT(H$1,4)*1-1&amp;"-"&amp;RIGHT(H$1,2),DATA!$D$1:$HT$52,MATCH($A29,DATA!$B:$B,0),FALSE)-1,3),0)</f>
        <v>-4.0000000000000001E-3</v>
      </c>
      <c r="I29">
        <f>IFERROR(ROUND(HLOOKUP(LEFT(I$1,4)&amp;"-"&amp;RIGHT(I$1,2),DATA!$D$1:$HT$52,MATCH($A29,DATA!$B:$B,0),FALSE)/HLOOKUP(LEFT(I$1,4)*1-1&amp;"-"&amp;RIGHT(I$1,2),DATA!$D$1:$HT$52,MATCH($A29,DATA!$B:$B,0),FALSE)-1,3),0)</f>
        <v>-0.02</v>
      </c>
      <c r="J29">
        <f>IFERROR(ROUND(HLOOKUP(LEFT(J$1,4)&amp;"-"&amp;RIGHT(J$1,2),DATA!$D$1:$HT$52,MATCH($A29,DATA!$B:$B,0),FALSE)/HLOOKUP(LEFT(J$1,4)*1-1&amp;"-"&amp;RIGHT(J$1,2),DATA!$D$1:$HT$52,MATCH($A29,DATA!$B:$B,0),FALSE)-1,3),0)</f>
        <v>3.0000000000000001E-3</v>
      </c>
      <c r="K29">
        <f>IFERROR(ROUND(HLOOKUP(LEFT(K$1,4)&amp;"-"&amp;RIGHT(K$1,2),DATA!$D$1:$HT$52,MATCH($A29,DATA!$B:$B,0),FALSE)/HLOOKUP(LEFT(K$1,4)*1-1&amp;"-"&amp;RIGHT(K$1,2),DATA!$D$1:$HT$52,MATCH($A29,DATA!$B:$B,0),FALSE)-1,3),0)</f>
        <v>-7.0000000000000001E-3</v>
      </c>
      <c r="L29">
        <f>IFERROR(ROUND(HLOOKUP(LEFT(L$1,4)&amp;"-"&amp;RIGHT(L$1,2),DATA!$D$1:$HT$52,MATCH($A29,DATA!$B:$B,0),FALSE)/HLOOKUP(LEFT(L$1,4)*1-1&amp;"-"&amp;RIGHT(L$1,2),DATA!$D$1:$HT$52,MATCH($A29,DATA!$B:$B,0),FALSE)-1,3),0)</f>
        <v>-1.2E-2</v>
      </c>
      <c r="M29">
        <f>IFERROR(ROUND(HLOOKUP(LEFT(M$1,4)&amp;"-"&amp;RIGHT(M$1,2),DATA!$D$1:$HT$52,MATCH($A29,DATA!$B:$B,0),FALSE)/HLOOKUP(LEFT(M$1,4)*1-1&amp;"-"&amp;RIGHT(M$1,2),DATA!$D$1:$HT$52,MATCH($A29,DATA!$B:$B,0),FALSE)-1,3),0)</f>
        <v>3.1E-2</v>
      </c>
      <c r="N29">
        <f>IFERROR(ROUND(HLOOKUP(LEFT(N$1,4)&amp;"-"&amp;RIGHT(N$1,2),DATA!$D$1:$HT$52,MATCH($A29,DATA!$B:$B,0),FALSE)/HLOOKUP(LEFT(N$1,4)*1-1&amp;"-"&amp;RIGHT(N$1,2),DATA!$D$1:$HT$52,MATCH($A29,DATA!$B:$B,0),FALSE)-1,3),0)</f>
        <v>2.8000000000000001E-2</v>
      </c>
      <c r="O29">
        <f>IFERROR(ROUND(HLOOKUP(LEFT(O$1,4)&amp;"-"&amp;RIGHT(O$1,2),DATA!$D$1:$HT$52,MATCH($A29,DATA!$B:$B,0),FALSE)/HLOOKUP(LEFT(O$1,4)*1-1&amp;"-"&amp;RIGHT(O$1,2),DATA!$D$1:$HT$52,MATCH($A29,DATA!$B:$B,0),FALSE)-1,3),0)</f>
        <v>3.4000000000000002E-2</v>
      </c>
      <c r="P29">
        <f>IFERROR(ROUND(HLOOKUP(LEFT(P$1,4)&amp;"-"&amp;RIGHT(P$1,2),DATA!$D$1:$HT$52,MATCH($A29,DATA!$B:$B,0),FALSE)/HLOOKUP(LEFT(P$1,4)*1-1&amp;"-"&amp;RIGHT(P$1,2),DATA!$D$1:$HT$52,MATCH($A29,DATA!$B:$B,0),FALSE)-1,3),0)</f>
        <v>5.3999999999999999E-2</v>
      </c>
      <c r="Q29">
        <f>IFERROR(ROUND(HLOOKUP(LEFT(Q$1,4)&amp;"-"&amp;RIGHT(Q$1,2),DATA!$D$1:$HT$52,MATCH($A29,DATA!$B:$B,0),FALSE)/HLOOKUP(LEFT(Q$1,4)*1-1&amp;"-"&amp;RIGHT(Q$1,2),DATA!$D$1:$HT$52,MATCH($A29,DATA!$B:$B,0),FALSE)-1,3),0)</f>
        <v>5.5E-2</v>
      </c>
      <c r="R29">
        <f>IFERROR(ROUND(HLOOKUP(LEFT(R$1,4)&amp;"-"&amp;RIGHT(R$1,2),DATA!$D$1:$HT$52,MATCH($A29,DATA!$B:$B,0),FALSE)/HLOOKUP(LEFT(R$1,4)*1-1&amp;"-"&amp;RIGHT(R$1,2),DATA!$D$1:$HT$52,MATCH($A29,DATA!$B:$B,0),FALSE)-1,3),0)</f>
        <v>7.0999999999999994E-2</v>
      </c>
    </row>
    <row r="30" spans="1:18" x14ac:dyDescent="0.3">
      <c r="A30" t="s">
        <v>262</v>
      </c>
      <c r="B30">
        <f>IFERROR(ROUND(HLOOKUP(LEFT(B$1,4)&amp;"-"&amp;RIGHT(B$1,2),DATA!$D$1:$HT$52,MATCH($A30,DATA!$B:$B,0),FALSE)/HLOOKUP(LEFT(B$1,4)*1-1&amp;"-"&amp;RIGHT(B$1,2),DATA!$D$1:$HT$52,MATCH($A30,DATA!$B:$B,0),FALSE)-1,3),0)</f>
        <v>7.2999999999999995E-2</v>
      </c>
      <c r="C30">
        <f>IFERROR(ROUND(HLOOKUP(LEFT(C$1,4)&amp;"-"&amp;RIGHT(C$1,2),DATA!$D$1:$HT$52,MATCH($A30,DATA!$B:$B,0),FALSE)/HLOOKUP(LEFT(C$1,4)*1-1&amp;"-"&amp;RIGHT(C$1,2),DATA!$D$1:$HT$52,MATCH($A30,DATA!$B:$B,0),FALSE)-1,3),0)</f>
        <v>6.8000000000000005E-2</v>
      </c>
      <c r="D30">
        <f>IFERROR(ROUND(HLOOKUP(LEFT(D$1,4)&amp;"-"&amp;RIGHT(D$1,2),DATA!$D$1:$HT$52,MATCH($A30,DATA!$B:$B,0),FALSE)/HLOOKUP(LEFT(D$1,4)*1-1&amp;"-"&amp;RIGHT(D$1,2),DATA!$D$1:$HT$52,MATCH($A30,DATA!$B:$B,0),FALSE)-1,3),0)</f>
        <v>0.184</v>
      </c>
      <c r="E30">
        <f>IFERROR(ROUND(HLOOKUP(LEFT(E$1,4)&amp;"-"&amp;RIGHT(E$1,2),DATA!$D$1:$HT$52,MATCH($A30,DATA!$B:$B,0),FALSE)/HLOOKUP(LEFT(E$1,4)*1-1&amp;"-"&amp;RIGHT(E$1,2),DATA!$D$1:$HT$52,MATCH($A30,DATA!$B:$B,0),FALSE)-1,3),0)</f>
        <v>0.41899999999999998</v>
      </c>
      <c r="F30">
        <f>IFERROR(ROUND(HLOOKUP(LEFT(F$1,4)&amp;"-"&amp;RIGHT(F$1,2),DATA!$D$1:$HT$52,MATCH($A30,DATA!$B:$B,0),FALSE)/HLOOKUP(LEFT(F$1,4)*1-1&amp;"-"&amp;RIGHT(F$1,2),DATA!$D$1:$HT$52,MATCH($A30,DATA!$B:$B,0),FALSE)-1,3),0)</f>
        <v>0.114</v>
      </c>
      <c r="G30">
        <f>IFERROR(ROUND(HLOOKUP(LEFT(G$1,4)&amp;"-"&amp;RIGHT(G$1,2),DATA!$D$1:$HT$52,MATCH($A30,DATA!$B:$B,0),FALSE)/HLOOKUP(LEFT(G$1,4)*1-1&amp;"-"&amp;RIGHT(G$1,2),DATA!$D$1:$HT$52,MATCH($A30,DATA!$B:$B,0),FALSE)-1,3),0)</f>
        <v>-1.6E-2</v>
      </c>
      <c r="H30">
        <f>IFERROR(ROUND(HLOOKUP(LEFT(H$1,4)&amp;"-"&amp;RIGHT(H$1,2),DATA!$D$1:$HT$52,MATCH($A30,DATA!$B:$B,0),FALSE)/HLOOKUP(LEFT(H$1,4)*1-1&amp;"-"&amp;RIGHT(H$1,2),DATA!$D$1:$HT$52,MATCH($A30,DATA!$B:$B,0),FALSE)-1,3),0)</f>
        <v>-0.129</v>
      </c>
      <c r="I30">
        <f>IFERROR(ROUND(HLOOKUP(LEFT(I$1,4)&amp;"-"&amp;RIGHT(I$1,2),DATA!$D$1:$HT$52,MATCH($A30,DATA!$B:$B,0),FALSE)/HLOOKUP(LEFT(I$1,4)*1-1&amp;"-"&amp;RIGHT(I$1,2),DATA!$D$1:$HT$52,MATCH($A30,DATA!$B:$B,0),FALSE)-1,3),0)</f>
        <v>-0.248</v>
      </c>
      <c r="J30">
        <f>IFERROR(ROUND(HLOOKUP(LEFT(J$1,4)&amp;"-"&amp;RIGHT(J$1,2),DATA!$D$1:$HT$52,MATCH($A30,DATA!$B:$B,0),FALSE)/HLOOKUP(LEFT(J$1,4)*1-1&amp;"-"&amp;RIGHT(J$1,2),DATA!$D$1:$HT$52,MATCH($A30,DATA!$B:$B,0),FALSE)-1,3),0)</f>
        <v>-0.23599999999999999</v>
      </c>
      <c r="K30">
        <f>IFERROR(ROUND(HLOOKUP(LEFT(K$1,4)&amp;"-"&amp;RIGHT(K$1,2),DATA!$D$1:$HT$52,MATCH($A30,DATA!$B:$B,0),FALSE)/HLOOKUP(LEFT(K$1,4)*1-1&amp;"-"&amp;RIGHT(K$1,2),DATA!$D$1:$HT$52,MATCH($A30,DATA!$B:$B,0),FALSE)-1,3),0)</f>
        <v>-8.5000000000000006E-2</v>
      </c>
      <c r="L30">
        <f>IFERROR(ROUND(HLOOKUP(LEFT(L$1,4)&amp;"-"&amp;RIGHT(L$1,2),DATA!$D$1:$HT$52,MATCH($A30,DATA!$B:$B,0),FALSE)/HLOOKUP(LEFT(L$1,4)*1-1&amp;"-"&amp;RIGHT(L$1,2),DATA!$D$1:$HT$52,MATCH($A30,DATA!$B:$B,0),FALSE)-1,3),0)</f>
        <v>-0.1</v>
      </c>
      <c r="M30">
        <f>IFERROR(ROUND(HLOOKUP(LEFT(M$1,4)&amp;"-"&amp;RIGHT(M$1,2),DATA!$D$1:$HT$52,MATCH($A30,DATA!$B:$B,0),FALSE)/HLOOKUP(LEFT(M$1,4)*1-1&amp;"-"&amp;RIGHT(M$1,2),DATA!$D$1:$HT$52,MATCH($A30,DATA!$B:$B,0),FALSE)-1,3),0)</f>
        <v>0.114</v>
      </c>
      <c r="N30">
        <f>IFERROR(ROUND(HLOOKUP(LEFT(N$1,4)&amp;"-"&amp;RIGHT(N$1,2),DATA!$D$1:$HT$52,MATCH($A30,DATA!$B:$B,0),FALSE)/HLOOKUP(LEFT(N$1,4)*1-1&amp;"-"&amp;RIGHT(N$1,2),DATA!$D$1:$HT$52,MATCH($A30,DATA!$B:$B,0),FALSE)-1,3),0)</f>
        <v>0.24199999999999999</v>
      </c>
      <c r="O30">
        <f>IFERROR(ROUND(HLOOKUP(LEFT(O$1,4)&amp;"-"&amp;RIGHT(O$1,2),DATA!$D$1:$HT$52,MATCH($A30,DATA!$B:$B,0),FALSE)/HLOOKUP(LEFT(O$1,4)*1-1&amp;"-"&amp;RIGHT(O$1,2),DATA!$D$1:$HT$52,MATCH($A30,DATA!$B:$B,0),FALSE)-1,3),0)</f>
        <v>0.10299999999999999</v>
      </c>
      <c r="P30">
        <f>IFERROR(ROUND(HLOOKUP(LEFT(P$1,4)&amp;"-"&amp;RIGHT(P$1,2),DATA!$D$1:$HT$52,MATCH($A30,DATA!$B:$B,0),FALSE)/HLOOKUP(LEFT(P$1,4)*1-1&amp;"-"&amp;RIGHT(P$1,2),DATA!$D$1:$HT$52,MATCH($A30,DATA!$B:$B,0),FALSE)-1,3),0)</f>
        <v>9.2999999999999999E-2</v>
      </c>
      <c r="Q30">
        <f>IFERROR(ROUND(HLOOKUP(LEFT(Q$1,4)&amp;"-"&amp;RIGHT(Q$1,2),DATA!$D$1:$HT$52,MATCH($A30,DATA!$B:$B,0),FALSE)/HLOOKUP(LEFT(Q$1,4)*1-1&amp;"-"&amp;RIGHT(Q$1,2),DATA!$D$1:$HT$52,MATCH($A30,DATA!$B:$B,0),FALSE)-1,3),0)</f>
        <v>0.09</v>
      </c>
      <c r="R30">
        <f>IFERROR(ROUND(HLOOKUP(LEFT(R$1,4)&amp;"-"&amp;RIGHT(R$1,2),DATA!$D$1:$HT$52,MATCH($A30,DATA!$B:$B,0),FALSE)/HLOOKUP(LEFT(R$1,4)*1-1&amp;"-"&amp;RIGHT(R$1,2),DATA!$D$1:$HT$52,MATCH($A30,DATA!$B:$B,0),FALSE)-1,3),0)</f>
        <v>0.122</v>
      </c>
    </row>
    <row r="31" spans="1:18" x14ac:dyDescent="0.3">
      <c r="A31" t="s">
        <v>269</v>
      </c>
      <c r="B31">
        <f>IFERROR(ROUND(HLOOKUP(LEFT(B$1,4)&amp;"-"&amp;RIGHT(B$1,2),DATA!$D$1:$HT$52,MATCH($A31,DATA!$B:$B,0),FALSE)/HLOOKUP(LEFT(B$1,4)*1-1&amp;"-"&amp;RIGHT(B$1,2),DATA!$D$1:$HT$52,MATCH($A31,DATA!$B:$B,0),FALSE)-1,3),0)</f>
        <v>0.13900000000000001</v>
      </c>
      <c r="C31">
        <f>IFERROR(ROUND(HLOOKUP(LEFT(C$1,4)&amp;"-"&amp;RIGHT(C$1,2),DATA!$D$1:$HT$52,MATCH($A31,DATA!$B:$B,0),FALSE)/HLOOKUP(LEFT(C$1,4)*1-1&amp;"-"&amp;RIGHT(C$1,2),DATA!$D$1:$HT$52,MATCH($A31,DATA!$B:$B,0),FALSE)-1,3),0)</f>
        <v>0.13300000000000001</v>
      </c>
      <c r="D31">
        <f>IFERROR(ROUND(HLOOKUP(LEFT(D$1,4)&amp;"-"&amp;RIGHT(D$1,2),DATA!$D$1:$HT$52,MATCH($A31,DATA!$B:$B,0),FALSE)/HLOOKUP(LEFT(D$1,4)*1-1&amp;"-"&amp;RIGHT(D$1,2),DATA!$D$1:$HT$52,MATCH($A31,DATA!$B:$B,0),FALSE)-1,3),0)</f>
        <v>0.13600000000000001</v>
      </c>
      <c r="E31">
        <f>IFERROR(ROUND(HLOOKUP(LEFT(E$1,4)&amp;"-"&amp;RIGHT(E$1,2),DATA!$D$1:$HT$52,MATCH($A31,DATA!$B:$B,0),FALSE)/HLOOKUP(LEFT(E$1,4)*1-1&amp;"-"&amp;RIGHT(E$1,2),DATA!$D$1:$HT$52,MATCH($A31,DATA!$B:$B,0),FALSE)-1,3),0)</f>
        <v>0.11700000000000001</v>
      </c>
      <c r="F31">
        <f>IFERROR(ROUND(HLOOKUP(LEFT(F$1,4)&amp;"-"&amp;RIGHT(F$1,2),DATA!$D$1:$HT$52,MATCH($A31,DATA!$B:$B,0),FALSE)/HLOOKUP(LEFT(F$1,4)*1-1&amp;"-"&amp;RIGHT(F$1,2),DATA!$D$1:$HT$52,MATCH($A31,DATA!$B:$B,0),FALSE)-1,3),0)</f>
        <v>6.7000000000000004E-2</v>
      </c>
      <c r="G31">
        <f>IFERROR(ROUND(HLOOKUP(LEFT(G$1,4)&amp;"-"&amp;RIGHT(G$1,2),DATA!$D$1:$HT$52,MATCH($A31,DATA!$B:$B,0),FALSE)/HLOOKUP(LEFT(G$1,4)*1-1&amp;"-"&amp;RIGHT(G$1,2),DATA!$D$1:$HT$52,MATCH($A31,DATA!$B:$B,0),FALSE)-1,3),0)</f>
        <v>-2.3E-2</v>
      </c>
      <c r="H31">
        <f>IFERROR(ROUND(HLOOKUP(LEFT(H$1,4)&amp;"-"&amp;RIGHT(H$1,2),DATA!$D$1:$HT$52,MATCH($A31,DATA!$B:$B,0),FALSE)/HLOOKUP(LEFT(H$1,4)*1-1&amp;"-"&amp;RIGHT(H$1,2),DATA!$D$1:$HT$52,MATCH($A31,DATA!$B:$B,0),FALSE)-1,3),0)</f>
        <v>-4.2000000000000003E-2</v>
      </c>
      <c r="I31">
        <f>IFERROR(ROUND(HLOOKUP(LEFT(I$1,4)&amp;"-"&amp;RIGHT(I$1,2),DATA!$D$1:$HT$52,MATCH($A31,DATA!$B:$B,0),FALSE)/HLOOKUP(LEFT(I$1,4)*1-1&amp;"-"&amp;RIGHT(I$1,2),DATA!$D$1:$HT$52,MATCH($A31,DATA!$B:$B,0),FALSE)-1,3),0)</f>
        <v>-7.6999999999999999E-2</v>
      </c>
      <c r="J31">
        <f>IFERROR(ROUND(HLOOKUP(LEFT(J$1,4)&amp;"-"&amp;RIGHT(J$1,2),DATA!$D$1:$HT$52,MATCH($A31,DATA!$B:$B,0),FALSE)/HLOOKUP(LEFT(J$1,4)*1-1&amp;"-"&amp;RIGHT(J$1,2),DATA!$D$1:$HT$52,MATCH($A31,DATA!$B:$B,0),FALSE)-1,3),0)</f>
        <v>-5.0999999999999997E-2</v>
      </c>
      <c r="K31">
        <f>IFERROR(ROUND(HLOOKUP(LEFT(K$1,4)&amp;"-"&amp;RIGHT(K$1,2),DATA!$D$1:$HT$52,MATCH($A31,DATA!$B:$B,0),FALSE)/HLOOKUP(LEFT(K$1,4)*1-1&amp;"-"&amp;RIGHT(K$1,2),DATA!$D$1:$HT$52,MATCH($A31,DATA!$B:$B,0),FALSE)-1,3),0)</f>
        <v>-3.5999999999999997E-2</v>
      </c>
      <c r="L31">
        <f>IFERROR(ROUND(HLOOKUP(LEFT(L$1,4)&amp;"-"&amp;RIGHT(L$1,2),DATA!$D$1:$HT$52,MATCH($A31,DATA!$B:$B,0),FALSE)/HLOOKUP(LEFT(L$1,4)*1-1&amp;"-"&amp;RIGHT(L$1,2),DATA!$D$1:$HT$52,MATCH($A31,DATA!$B:$B,0),FALSE)-1,3),0)</f>
        <v>-4.9000000000000002E-2</v>
      </c>
      <c r="M31">
        <f>IFERROR(ROUND(HLOOKUP(LEFT(M$1,4)&amp;"-"&amp;RIGHT(M$1,2),DATA!$D$1:$HT$52,MATCH($A31,DATA!$B:$B,0),FALSE)/HLOOKUP(LEFT(M$1,4)*1-1&amp;"-"&amp;RIGHT(M$1,2),DATA!$D$1:$HT$52,MATCH($A31,DATA!$B:$B,0),FALSE)-1,3),0)</f>
        <v>1.2999999999999999E-2</v>
      </c>
      <c r="N31">
        <f>IFERROR(ROUND(HLOOKUP(LEFT(N$1,4)&amp;"-"&amp;RIGHT(N$1,2),DATA!$D$1:$HT$52,MATCH($A31,DATA!$B:$B,0),FALSE)/HLOOKUP(LEFT(N$1,4)*1-1&amp;"-"&amp;RIGHT(N$1,2),DATA!$D$1:$HT$52,MATCH($A31,DATA!$B:$B,0),FALSE)-1,3),0)</f>
        <v>0.05</v>
      </c>
      <c r="O31">
        <f>IFERROR(ROUND(HLOOKUP(LEFT(O$1,4)&amp;"-"&amp;RIGHT(O$1,2),DATA!$D$1:$HT$52,MATCH($A31,DATA!$B:$B,0),FALSE)/HLOOKUP(LEFT(O$1,4)*1-1&amp;"-"&amp;RIGHT(O$1,2),DATA!$D$1:$HT$52,MATCH($A31,DATA!$B:$B,0),FALSE)-1,3),0)</f>
        <v>3.5000000000000003E-2</v>
      </c>
      <c r="P31">
        <f>IFERROR(ROUND(HLOOKUP(LEFT(P$1,4)&amp;"-"&amp;RIGHT(P$1,2),DATA!$D$1:$HT$52,MATCH($A31,DATA!$B:$B,0),FALSE)/HLOOKUP(LEFT(P$1,4)*1-1&amp;"-"&amp;RIGHT(P$1,2),DATA!$D$1:$HT$52,MATCH($A31,DATA!$B:$B,0),FALSE)-1,3),0)</f>
        <v>4.2999999999999997E-2</v>
      </c>
      <c r="Q31">
        <f>IFERROR(ROUND(HLOOKUP(LEFT(Q$1,4)&amp;"-"&amp;RIGHT(Q$1,2),DATA!$D$1:$HT$52,MATCH($A31,DATA!$B:$B,0),FALSE)/HLOOKUP(LEFT(Q$1,4)*1-1&amp;"-"&amp;RIGHT(Q$1,2),DATA!$D$1:$HT$52,MATCH($A31,DATA!$B:$B,0),FALSE)-1,3),0)</f>
        <v>5.2999999999999999E-2</v>
      </c>
      <c r="R31">
        <f>IFERROR(ROUND(HLOOKUP(LEFT(R$1,4)&amp;"-"&amp;RIGHT(R$1,2),DATA!$D$1:$HT$52,MATCH($A31,DATA!$B:$B,0),FALSE)/HLOOKUP(LEFT(R$1,4)*1-1&amp;"-"&amp;RIGHT(R$1,2),DATA!$D$1:$HT$52,MATCH($A31,DATA!$B:$B,0),FALSE)-1,3),0)</f>
        <v>7.5999999999999998E-2</v>
      </c>
    </row>
    <row r="32" spans="1:18" x14ac:dyDescent="0.3">
      <c r="A32" t="s">
        <v>238</v>
      </c>
      <c r="B32">
        <f>IFERROR(ROUND(HLOOKUP(LEFT(B$1,4)&amp;"-"&amp;RIGHT(B$1,2),DATA!$D$1:$HT$52,MATCH($A32,DATA!$B:$B,0),FALSE)/HLOOKUP(LEFT(B$1,4)*1-1&amp;"-"&amp;RIGHT(B$1,2),DATA!$D$1:$HT$52,MATCH($A32,DATA!$B:$B,0),FALSE)-1,3),0)</f>
        <v>0.128</v>
      </c>
      <c r="C32">
        <f>IFERROR(ROUND(HLOOKUP(LEFT(C$1,4)&amp;"-"&amp;RIGHT(C$1,2),DATA!$D$1:$HT$52,MATCH($A32,DATA!$B:$B,0),FALSE)/HLOOKUP(LEFT(C$1,4)*1-1&amp;"-"&amp;RIGHT(C$1,2),DATA!$D$1:$HT$52,MATCH($A32,DATA!$B:$B,0),FALSE)-1,3),0)</f>
        <v>0.17799999999999999</v>
      </c>
      <c r="D32">
        <f>IFERROR(ROUND(HLOOKUP(LEFT(D$1,4)&amp;"-"&amp;RIGHT(D$1,2),DATA!$D$1:$HT$52,MATCH($A32,DATA!$B:$B,0),FALSE)/HLOOKUP(LEFT(D$1,4)*1-1&amp;"-"&amp;RIGHT(D$1,2),DATA!$D$1:$HT$52,MATCH($A32,DATA!$B:$B,0),FALSE)-1,3),0)</f>
        <v>0.14799999999999999</v>
      </c>
      <c r="E32">
        <f>IFERROR(ROUND(HLOOKUP(LEFT(E$1,4)&amp;"-"&amp;RIGHT(E$1,2),DATA!$D$1:$HT$52,MATCH($A32,DATA!$B:$B,0),FALSE)/HLOOKUP(LEFT(E$1,4)*1-1&amp;"-"&amp;RIGHT(E$1,2),DATA!$D$1:$HT$52,MATCH($A32,DATA!$B:$B,0),FALSE)-1,3),0)</f>
        <v>0.153</v>
      </c>
      <c r="F32">
        <f>IFERROR(ROUND(HLOOKUP(LEFT(F$1,4)&amp;"-"&amp;RIGHT(F$1,2),DATA!$D$1:$HT$52,MATCH($A32,DATA!$B:$B,0),FALSE)/HLOOKUP(LEFT(F$1,4)*1-1&amp;"-"&amp;RIGHT(F$1,2),DATA!$D$1:$HT$52,MATCH($A32,DATA!$B:$B,0),FALSE)-1,3),0)</f>
        <v>0.14399999999999999</v>
      </c>
      <c r="G32">
        <f>IFERROR(ROUND(HLOOKUP(LEFT(G$1,4)&amp;"-"&amp;RIGHT(G$1,2),DATA!$D$1:$HT$52,MATCH($A32,DATA!$B:$B,0),FALSE)/HLOOKUP(LEFT(G$1,4)*1-1&amp;"-"&amp;RIGHT(G$1,2),DATA!$D$1:$HT$52,MATCH($A32,DATA!$B:$B,0),FALSE)-1,3),0)</f>
        <v>3.4000000000000002E-2</v>
      </c>
      <c r="H32">
        <f>IFERROR(ROUND(HLOOKUP(LEFT(H$1,4)&amp;"-"&amp;RIGHT(H$1,2),DATA!$D$1:$HT$52,MATCH($A32,DATA!$B:$B,0),FALSE)/HLOOKUP(LEFT(H$1,4)*1-1&amp;"-"&amp;RIGHT(H$1,2),DATA!$D$1:$HT$52,MATCH($A32,DATA!$B:$B,0),FALSE)-1,3),0)</f>
        <v>-4.3999999999999997E-2</v>
      </c>
      <c r="I32">
        <f>IFERROR(ROUND(HLOOKUP(LEFT(I$1,4)&amp;"-"&amp;RIGHT(I$1,2),DATA!$D$1:$HT$52,MATCH($A32,DATA!$B:$B,0),FALSE)/HLOOKUP(LEFT(I$1,4)*1-1&amp;"-"&amp;RIGHT(I$1,2),DATA!$D$1:$HT$52,MATCH($A32,DATA!$B:$B,0),FALSE)-1,3),0)</f>
        <v>-8.8999999999999996E-2</v>
      </c>
      <c r="J32">
        <f>IFERROR(ROUND(HLOOKUP(LEFT(J$1,4)&amp;"-"&amp;RIGHT(J$1,2),DATA!$D$1:$HT$52,MATCH($A32,DATA!$B:$B,0),FALSE)/HLOOKUP(LEFT(J$1,4)*1-1&amp;"-"&amp;RIGHT(J$1,2),DATA!$D$1:$HT$52,MATCH($A32,DATA!$B:$B,0),FALSE)-1,3),0)</f>
        <v>-7.5999999999999998E-2</v>
      </c>
      <c r="K32">
        <f>IFERROR(ROUND(HLOOKUP(LEFT(K$1,4)&amp;"-"&amp;RIGHT(K$1,2),DATA!$D$1:$HT$52,MATCH($A32,DATA!$B:$B,0),FALSE)/HLOOKUP(LEFT(K$1,4)*1-1&amp;"-"&amp;RIGHT(K$1,2),DATA!$D$1:$HT$52,MATCH($A32,DATA!$B:$B,0),FALSE)-1,3),0)</f>
        <v>-5.5E-2</v>
      </c>
      <c r="L32">
        <f>IFERROR(ROUND(HLOOKUP(LEFT(L$1,4)&amp;"-"&amp;RIGHT(L$1,2),DATA!$D$1:$HT$52,MATCH($A32,DATA!$B:$B,0),FALSE)/HLOOKUP(LEFT(L$1,4)*1-1&amp;"-"&amp;RIGHT(L$1,2),DATA!$D$1:$HT$52,MATCH($A32,DATA!$B:$B,0),FALSE)-1,3),0)</f>
        <v>-7.0999999999999994E-2</v>
      </c>
      <c r="M32">
        <f>IFERROR(ROUND(HLOOKUP(LEFT(M$1,4)&amp;"-"&amp;RIGHT(M$1,2),DATA!$D$1:$HT$52,MATCH($A32,DATA!$B:$B,0),FALSE)/HLOOKUP(LEFT(M$1,4)*1-1&amp;"-"&amp;RIGHT(M$1,2),DATA!$D$1:$HT$52,MATCH($A32,DATA!$B:$B,0),FALSE)-1,3),0)</f>
        <v>-2.8000000000000001E-2</v>
      </c>
      <c r="N32">
        <f>IFERROR(ROUND(HLOOKUP(LEFT(N$1,4)&amp;"-"&amp;RIGHT(N$1,2),DATA!$D$1:$HT$52,MATCH($A32,DATA!$B:$B,0),FALSE)/HLOOKUP(LEFT(N$1,4)*1-1&amp;"-"&amp;RIGHT(N$1,2),DATA!$D$1:$HT$52,MATCH($A32,DATA!$B:$B,0),FALSE)-1,3),0)</f>
        <v>3.5999999999999997E-2</v>
      </c>
      <c r="O32">
        <f>IFERROR(ROUND(HLOOKUP(LEFT(O$1,4)&amp;"-"&amp;RIGHT(O$1,2),DATA!$D$1:$HT$52,MATCH($A32,DATA!$B:$B,0),FALSE)/HLOOKUP(LEFT(O$1,4)*1-1&amp;"-"&amp;RIGHT(O$1,2),DATA!$D$1:$HT$52,MATCH($A32,DATA!$B:$B,0),FALSE)-1,3),0)</f>
        <v>2.5999999999999999E-2</v>
      </c>
      <c r="P32">
        <f>IFERROR(ROUND(HLOOKUP(LEFT(P$1,4)&amp;"-"&amp;RIGHT(P$1,2),DATA!$D$1:$HT$52,MATCH($A32,DATA!$B:$B,0),FALSE)/HLOOKUP(LEFT(P$1,4)*1-1&amp;"-"&amp;RIGHT(P$1,2),DATA!$D$1:$HT$52,MATCH($A32,DATA!$B:$B,0),FALSE)-1,3),0)</f>
        <v>8.9999999999999993E-3</v>
      </c>
      <c r="Q32">
        <f>IFERROR(ROUND(HLOOKUP(LEFT(Q$1,4)&amp;"-"&amp;RIGHT(Q$1,2),DATA!$D$1:$HT$52,MATCH($A32,DATA!$B:$B,0),FALSE)/HLOOKUP(LEFT(Q$1,4)*1-1&amp;"-"&amp;RIGHT(Q$1,2),DATA!$D$1:$HT$52,MATCH($A32,DATA!$B:$B,0),FALSE)-1,3),0)</f>
        <v>0.02</v>
      </c>
      <c r="R32">
        <f>IFERROR(ROUND(HLOOKUP(LEFT(R$1,4)&amp;"-"&amp;RIGHT(R$1,2),DATA!$D$1:$HT$52,MATCH($A32,DATA!$B:$B,0),FALSE)/HLOOKUP(LEFT(R$1,4)*1-1&amp;"-"&amp;RIGHT(R$1,2),DATA!$D$1:$HT$52,MATCH($A32,DATA!$B:$B,0),FALSE)-1,3),0)</f>
        <v>9.4E-2</v>
      </c>
    </row>
    <row r="33" spans="1:18" x14ac:dyDescent="0.3">
      <c r="A33" t="s">
        <v>263</v>
      </c>
      <c r="B33">
        <f>IFERROR(ROUND(HLOOKUP(LEFT(B$1,4)&amp;"-"&amp;RIGHT(B$1,2),DATA!$D$1:$HT$52,MATCH($A33,DATA!$B:$B,0),FALSE)/HLOOKUP(LEFT(B$1,4)*1-1&amp;"-"&amp;RIGHT(B$1,2),DATA!$D$1:$HT$52,MATCH($A33,DATA!$B:$B,0),FALSE)-1,3),0)</f>
        <v>6.8000000000000005E-2</v>
      </c>
      <c r="C33">
        <f>IFERROR(ROUND(HLOOKUP(LEFT(C$1,4)&amp;"-"&amp;RIGHT(C$1,2),DATA!$D$1:$HT$52,MATCH($A33,DATA!$B:$B,0),FALSE)/HLOOKUP(LEFT(C$1,4)*1-1&amp;"-"&amp;RIGHT(C$1,2),DATA!$D$1:$HT$52,MATCH($A33,DATA!$B:$B,0),FALSE)-1,3),0)</f>
        <v>1.2E-2</v>
      </c>
      <c r="D33">
        <f>IFERROR(ROUND(HLOOKUP(LEFT(D$1,4)&amp;"-"&amp;RIGHT(D$1,2),DATA!$D$1:$HT$52,MATCH($A33,DATA!$B:$B,0),FALSE)/HLOOKUP(LEFT(D$1,4)*1-1&amp;"-"&amp;RIGHT(D$1,2),DATA!$D$1:$HT$52,MATCH($A33,DATA!$B:$B,0),FALSE)-1,3),0)</f>
        <v>8.5999999999999993E-2</v>
      </c>
      <c r="E33">
        <f>IFERROR(ROUND(HLOOKUP(LEFT(E$1,4)&amp;"-"&amp;RIGHT(E$1,2),DATA!$D$1:$HT$52,MATCH($A33,DATA!$B:$B,0),FALSE)/HLOOKUP(LEFT(E$1,4)*1-1&amp;"-"&amp;RIGHT(E$1,2),DATA!$D$1:$HT$52,MATCH($A33,DATA!$B:$B,0),FALSE)-1,3),0)</f>
        <v>1.6E-2</v>
      </c>
      <c r="F33">
        <f>IFERROR(ROUND(HLOOKUP(LEFT(F$1,4)&amp;"-"&amp;RIGHT(F$1,2),DATA!$D$1:$HT$52,MATCH($A33,DATA!$B:$B,0),FALSE)/HLOOKUP(LEFT(F$1,4)*1-1&amp;"-"&amp;RIGHT(F$1,2),DATA!$D$1:$HT$52,MATCH($A33,DATA!$B:$B,0),FALSE)-1,3),0)</f>
        <v>3.7999999999999999E-2</v>
      </c>
      <c r="G33">
        <f>IFERROR(ROUND(HLOOKUP(LEFT(G$1,4)&amp;"-"&amp;RIGHT(G$1,2),DATA!$D$1:$HT$52,MATCH($A33,DATA!$B:$B,0),FALSE)/HLOOKUP(LEFT(G$1,4)*1-1&amp;"-"&amp;RIGHT(G$1,2),DATA!$D$1:$HT$52,MATCH($A33,DATA!$B:$B,0),FALSE)-1,3),0)</f>
        <v>0.13700000000000001</v>
      </c>
      <c r="H33">
        <f>IFERROR(ROUND(HLOOKUP(LEFT(H$1,4)&amp;"-"&amp;RIGHT(H$1,2),DATA!$D$1:$HT$52,MATCH($A33,DATA!$B:$B,0),FALSE)/HLOOKUP(LEFT(H$1,4)*1-1&amp;"-"&amp;RIGHT(H$1,2),DATA!$D$1:$HT$52,MATCH($A33,DATA!$B:$B,0),FALSE)-1,3),0)</f>
        <v>0.03</v>
      </c>
      <c r="I33">
        <f>IFERROR(ROUND(HLOOKUP(LEFT(I$1,4)&amp;"-"&amp;RIGHT(I$1,2),DATA!$D$1:$HT$52,MATCH($A33,DATA!$B:$B,0),FALSE)/HLOOKUP(LEFT(I$1,4)*1-1&amp;"-"&amp;RIGHT(I$1,2),DATA!$D$1:$HT$52,MATCH($A33,DATA!$B:$B,0),FALSE)-1,3),0)</f>
        <v>-0.02</v>
      </c>
      <c r="J33">
        <f>IFERROR(ROUND(HLOOKUP(LEFT(J$1,4)&amp;"-"&amp;RIGHT(J$1,2),DATA!$D$1:$HT$52,MATCH($A33,DATA!$B:$B,0),FALSE)/HLOOKUP(LEFT(J$1,4)*1-1&amp;"-"&amp;RIGHT(J$1,2),DATA!$D$1:$HT$52,MATCH($A33,DATA!$B:$B,0),FALSE)-1,3),0)</f>
        <v>-0.03</v>
      </c>
      <c r="K33">
        <f>IFERROR(ROUND(HLOOKUP(LEFT(K$1,4)&amp;"-"&amp;RIGHT(K$1,2),DATA!$D$1:$HT$52,MATCH($A33,DATA!$B:$B,0),FALSE)/HLOOKUP(LEFT(K$1,4)*1-1&amp;"-"&amp;RIGHT(K$1,2),DATA!$D$1:$HT$52,MATCH($A33,DATA!$B:$B,0),FALSE)-1,3),0)</f>
        <v>-4.2999999999999997E-2</v>
      </c>
      <c r="L33">
        <f>IFERROR(ROUND(HLOOKUP(LEFT(L$1,4)&amp;"-"&amp;RIGHT(L$1,2),DATA!$D$1:$HT$52,MATCH($A33,DATA!$B:$B,0),FALSE)/HLOOKUP(LEFT(L$1,4)*1-1&amp;"-"&amp;RIGHT(L$1,2),DATA!$D$1:$HT$52,MATCH($A33,DATA!$B:$B,0),FALSE)-1,3),0)</f>
        <v>-6.4000000000000001E-2</v>
      </c>
      <c r="M33">
        <f>IFERROR(ROUND(HLOOKUP(LEFT(M$1,4)&amp;"-"&amp;RIGHT(M$1,2),DATA!$D$1:$HT$52,MATCH($A33,DATA!$B:$B,0),FALSE)/HLOOKUP(LEFT(M$1,4)*1-1&amp;"-"&amp;RIGHT(M$1,2),DATA!$D$1:$HT$52,MATCH($A33,DATA!$B:$B,0),FALSE)-1,3),0)</f>
        <v>-1.9E-2</v>
      </c>
      <c r="N33">
        <f>IFERROR(ROUND(HLOOKUP(LEFT(N$1,4)&amp;"-"&amp;RIGHT(N$1,2),DATA!$D$1:$HT$52,MATCH($A33,DATA!$B:$B,0),FALSE)/HLOOKUP(LEFT(N$1,4)*1-1&amp;"-"&amp;RIGHT(N$1,2),DATA!$D$1:$HT$52,MATCH($A33,DATA!$B:$B,0),FALSE)-1,3),0)</f>
        <v>4.0000000000000001E-3</v>
      </c>
      <c r="O33">
        <f>IFERROR(ROUND(HLOOKUP(LEFT(O$1,4)&amp;"-"&amp;RIGHT(O$1,2),DATA!$D$1:$HT$52,MATCH($A33,DATA!$B:$B,0),FALSE)/HLOOKUP(LEFT(O$1,4)*1-1&amp;"-"&amp;RIGHT(O$1,2),DATA!$D$1:$HT$52,MATCH($A33,DATA!$B:$B,0),FALSE)-1,3),0)</f>
        <v>1.7999999999999999E-2</v>
      </c>
      <c r="P33">
        <f>IFERROR(ROUND(HLOOKUP(LEFT(P$1,4)&amp;"-"&amp;RIGHT(P$1,2),DATA!$D$1:$HT$52,MATCH($A33,DATA!$B:$B,0),FALSE)/HLOOKUP(LEFT(P$1,4)*1-1&amp;"-"&amp;RIGHT(P$1,2),DATA!$D$1:$HT$52,MATCH($A33,DATA!$B:$B,0),FALSE)-1,3),0)</f>
        <v>4.3999999999999997E-2</v>
      </c>
      <c r="Q33">
        <f>IFERROR(ROUND(HLOOKUP(LEFT(Q$1,4)&amp;"-"&amp;RIGHT(Q$1,2),DATA!$D$1:$HT$52,MATCH($A33,DATA!$B:$B,0),FALSE)/HLOOKUP(LEFT(Q$1,4)*1-1&amp;"-"&amp;RIGHT(Q$1,2),DATA!$D$1:$HT$52,MATCH($A33,DATA!$B:$B,0),FALSE)-1,3),0)</f>
        <v>0.04</v>
      </c>
      <c r="R33">
        <f>IFERROR(ROUND(HLOOKUP(LEFT(R$1,4)&amp;"-"&amp;RIGHT(R$1,2),DATA!$D$1:$HT$52,MATCH($A33,DATA!$B:$B,0),FALSE)/HLOOKUP(LEFT(R$1,4)*1-1&amp;"-"&amp;RIGHT(R$1,2),DATA!$D$1:$HT$52,MATCH($A33,DATA!$B:$B,0),FALSE)-1,3),0)</f>
        <v>4.9000000000000002E-2</v>
      </c>
    </row>
    <row r="34" spans="1:18" x14ac:dyDescent="0.3">
      <c r="A34" t="s">
        <v>230</v>
      </c>
      <c r="B34">
        <f>IFERROR(ROUND(HLOOKUP(LEFT(B$1,4)&amp;"-"&amp;RIGHT(B$1,2),DATA!$D$1:$HT$52,MATCH($A34,DATA!$B:$B,0),FALSE)/HLOOKUP(LEFT(B$1,4)*1-1&amp;"-"&amp;RIGHT(B$1,2),DATA!$D$1:$HT$52,MATCH($A34,DATA!$B:$B,0),FALSE)-1,3),0)</f>
        <v>0.104</v>
      </c>
      <c r="C34">
        <f>IFERROR(ROUND(HLOOKUP(LEFT(C$1,4)&amp;"-"&amp;RIGHT(C$1,2),DATA!$D$1:$HT$52,MATCH($A34,DATA!$B:$B,0),FALSE)/HLOOKUP(LEFT(C$1,4)*1-1&amp;"-"&amp;RIGHT(C$1,2),DATA!$D$1:$HT$52,MATCH($A34,DATA!$B:$B,0),FALSE)-1,3),0)</f>
        <v>0.128</v>
      </c>
      <c r="D34">
        <f>IFERROR(ROUND(HLOOKUP(LEFT(D$1,4)&amp;"-"&amp;RIGHT(D$1,2),DATA!$D$1:$HT$52,MATCH($A34,DATA!$B:$B,0),FALSE)/HLOOKUP(LEFT(D$1,4)*1-1&amp;"-"&amp;RIGHT(D$1,2),DATA!$D$1:$HT$52,MATCH($A34,DATA!$B:$B,0),FALSE)-1,3),0)</f>
        <v>0.16800000000000001</v>
      </c>
      <c r="E34">
        <f>IFERROR(ROUND(HLOOKUP(LEFT(E$1,4)&amp;"-"&amp;RIGHT(E$1,2),DATA!$D$1:$HT$52,MATCH($A34,DATA!$B:$B,0),FALSE)/HLOOKUP(LEFT(E$1,4)*1-1&amp;"-"&amp;RIGHT(E$1,2),DATA!$D$1:$HT$52,MATCH($A34,DATA!$B:$B,0),FALSE)-1,3),0)</f>
        <v>0.154</v>
      </c>
      <c r="F34">
        <f>IFERROR(ROUND(HLOOKUP(LEFT(F$1,4)&amp;"-"&amp;RIGHT(F$1,2),DATA!$D$1:$HT$52,MATCH($A34,DATA!$B:$B,0),FALSE)/HLOOKUP(LEFT(F$1,4)*1-1&amp;"-"&amp;RIGHT(F$1,2),DATA!$D$1:$HT$52,MATCH($A34,DATA!$B:$B,0),FALSE)-1,3),0)</f>
        <v>0.13100000000000001</v>
      </c>
      <c r="G34">
        <f>IFERROR(ROUND(HLOOKUP(LEFT(G$1,4)&amp;"-"&amp;RIGHT(G$1,2),DATA!$D$1:$HT$52,MATCH($A34,DATA!$B:$B,0),FALSE)/HLOOKUP(LEFT(G$1,4)*1-1&amp;"-"&amp;RIGHT(G$1,2),DATA!$D$1:$HT$52,MATCH($A34,DATA!$B:$B,0),FALSE)-1,3),0)</f>
        <v>0.04</v>
      </c>
      <c r="H34">
        <f>IFERROR(ROUND(HLOOKUP(LEFT(H$1,4)&amp;"-"&amp;RIGHT(H$1,2),DATA!$D$1:$HT$52,MATCH($A34,DATA!$B:$B,0),FALSE)/HLOOKUP(LEFT(H$1,4)*1-1&amp;"-"&amp;RIGHT(H$1,2),DATA!$D$1:$HT$52,MATCH($A34,DATA!$B:$B,0),FALSE)-1,3),0)</f>
        <v>-1.2999999999999999E-2</v>
      </c>
      <c r="I34">
        <f>IFERROR(ROUND(HLOOKUP(LEFT(I$1,4)&amp;"-"&amp;RIGHT(I$1,2),DATA!$D$1:$HT$52,MATCH($A34,DATA!$B:$B,0),FALSE)/HLOOKUP(LEFT(I$1,4)*1-1&amp;"-"&amp;RIGHT(I$1,2),DATA!$D$1:$HT$52,MATCH($A34,DATA!$B:$B,0),FALSE)-1,3),0)</f>
        <v>-8.7999999999999995E-2</v>
      </c>
      <c r="J34">
        <f>IFERROR(ROUND(HLOOKUP(LEFT(J$1,4)&amp;"-"&amp;RIGHT(J$1,2),DATA!$D$1:$HT$52,MATCH($A34,DATA!$B:$B,0),FALSE)/HLOOKUP(LEFT(J$1,4)*1-1&amp;"-"&amp;RIGHT(J$1,2),DATA!$D$1:$HT$52,MATCH($A34,DATA!$B:$B,0),FALSE)-1,3),0)</f>
        <v>-5.8000000000000003E-2</v>
      </c>
      <c r="K34">
        <f>IFERROR(ROUND(HLOOKUP(LEFT(K$1,4)&amp;"-"&amp;RIGHT(K$1,2),DATA!$D$1:$HT$52,MATCH($A34,DATA!$B:$B,0),FALSE)/HLOOKUP(LEFT(K$1,4)*1-1&amp;"-"&amp;RIGHT(K$1,2),DATA!$D$1:$HT$52,MATCH($A34,DATA!$B:$B,0),FALSE)-1,3),0)</f>
        <v>-4.4999999999999998E-2</v>
      </c>
      <c r="L34">
        <f>IFERROR(ROUND(HLOOKUP(LEFT(L$1,4)&amp;"-"&amp;RIGHT(L$1,2),DATA!$D$1:$HT$52,MATCH($A34,DATA!$B:$B,0),FALSE)/HLOOKUP(LEFT(L$1,4)*1-1&amp;"-"&amp;RIGHT(L$1,2),DATA!$D$1:$HT$52,MATCH($A34,DATA!$B:$B,0),FALSE)-1,3),0)</f>
        <v>-4.5999999999999999E-2</v>
      </c>
      <c r="M34">
        <f>IFERROR(ROUND(HLOOKUP(LEFT(M$1,4)&amp;"-"&amp;RIGHT(M$1,2),DATA!$D$1:$HT$52,MATCH($A34,DATA!$B:$B,0),FALSE)/HLOOKUP(LEFT(M$1,4)*1-1&amp;"-"&amp;RIGHT(M$1,2),DATA!$D$1:$HT$52,MATCH($A34,DATA!$B:$B,0),FALSE)-1,3),0)</f>
        <v>-1.2E-2</v>
      </c>
      <c r="N34">
        <f>IFERROR(ROUND(HLOOKUP(LEFT(N$1,4)&amp;"-"&amp;RIGHT(N$1,2),DATA!$D$1:$HT$52,MATCH($A34,DATA!$B:$B,0),FALSE)/HLOOKUP(LEFT(N$1,4)*1-1&amp;"-"&amp;RIGHT(N$1,2),DATA!$D$1:$HT$52,MATCH($A34,DATA!$B:$B,0),FALSE)-1,3),0)</f>
        <v>3.2000000000000001E-2</v>
      </c>
      <c r="O34">
        <f>IFERROR(ROUND(HLOOKUP(LEFT(O$1,4)&amp;"-"&amp;RIGHT(O$1,2),DATA!$D$1:$HT$52,MATCH($A34,DATA!$B:$B,0),FALSE)/HLOOKUP(LEFT(O$1,4)*1-1&amp;"-"&amp;RIGHT(O$1,2),DATA!$D$1:$HT$52,MATCH($A34,DATA!$B:$B,0),FALSE)-1,3),0)</f>
        <v>2.3E-2</v>
      </c>
      <c r="P34">
        <f>IFERROR(ROUND(HLOOKUP(LEFT(P$1,4)&amp;"-"&amp;RIGHT(P$1,2),DATA!$D$1:$HT$52,MATCH($A34,DATA!$B:$B,0),FALSE)/HLOOKUP(LEFT(P$1,4)*1-1&amp;"-"&amp;RIGHT(P$1,2),DATA!$D$1:$HT$52,MATCH($A34,DATA!$B:$B,0),FALSE)-1,3),0)</f>
        <v>2.8000000000000001E-2</v>
      </c>
      <c r="Q34">
        <f>IFERROR(ROUND(HLOOKUP(LEFT(Q$1,4)&amp;"-"&amp;RIGHT(Q$1,2),DATA!$D$1:$HT$52,MATCH($A34,DATA!$B:$B,0),FALSE)/HLOOKUP(LEFT(Q$1,4)*1-1&amp;"-"&amp;RIGHT(Q$1,2),DATA!$D$1:$HT$52,MATCH($A34,DATA!$B:$B,0),FALSE)-1,3),0)</f>
        <v>4.2000000000000003E-2</v>
      </c>
      <c r="R34">
        <f>IFERROR(ROUND(HLOOKUP(LEFT(R$1,4)&amp;"-"&amp;RIGHT(R$1,2),DATA!$D$1:$HT$52,MATCH($A34,DATA!$B:$B,0),FALSE)/HLOOKUP(LEFT(R$1,4)*1-1&amp;"-"&amp;RIGHT(R$1,2),DATA!$D$1:$HT$52,MATCH($A34,DATA!$B:$B,0),FALSE)-1,3),0)</f>
        <v>0.06</v>
      </c>
    </row>
    <row r="35" spans="1:18" x14ac:dyDescent="0.3">
      <c r="A35" t="s">
        <v>237</v>
      </c>
      <c r="B35">
        <f>IFERROR(ROUND(HLOOKUP(LEFT(B$1,4)&amp;"-"&amp;RIGHT(B$1,2),DATA!$D$1:$HT$52,MATCH($A35,DATA!$B:$B,0),FALSE)/HLOOKUP(LEFT(B$1,4)*1-1&amp;"-"&amp;RIGHT(B$1,2),DATA!$D$1:$HT$52,MATCH($A35,DATA!$B:$B,0),FALSE)-1,3),0)</f>
        <v>1.9E-2</v>
      </c>
      <c r="C35">
        <f>IFERROR(ROUND(HLOOKUP(LEFT(C$1,4)&amp;"-"&amp;RIGHT(C$1,2),DATA!$D$1:$HT$52,MATCH($A35,DATA!$B:$B,0),FALSE)/HLOOKUP(LEFT(C$1,4)*1-1&amp;"-"&amp;RIGHT(C$1,2),DATA!$D$1:$HT$52,MATCH($A35,DATA!$B:$B,0),FALSE)-1,3),0)</f>
        <v>3.5999999999999997E-2</v>
      </c>
      <c r="D35">
        <f>IFERROR(ROUND(HLOOKUP(LEFT(D$1,4)&amp;"-"&amp;RIGHT(D$1,2),DATA!$D$1:$HT$52,MATCH($A35,DATA!$B:$B,0),FALSE)/HLOOKUP(LEFT(D$1,4)*1-1&amp;"-"&amp;RIGHT(D$1,2),DATA!$D$1:$HT$52,MATCH($A35,DATA!$B:$B,0),FALSE)-1,3),0)</f>
        <v>4.5999999999999999E-2</v>
      </c>
      <c r="E35">
        <f>IFERROR(ROUND(HLOOKUP(LEFT(E$1,4)&amp;"-"&amp;RIGHT(E$1,2),DATA!$D$1:$HT$52,MATCH($A35,DATA!$B:$B,0),FALSE)/HLOOKUP(LEFT(E$1,4)*1-1&amp;"-"&amp;RIGHT(E$1,2),DATA!$D$1:$HT$52,MATCH($A35,DATA!$B:$B,0),FALSE)-1,3),0)</f>
        <v>6.3E-2</v>
      </c>
      <c r="F35">
        <f>IFERROR(ROUND(HLOOKUP(LEFT(F$1,4)&amp;"-"&amp;RIGHT(F$1,2),DATA!$D$1:$HT$52,MATCH($A35,DATA!$B:$B,0),FALSE)/HLOOKUP(LEFT(F$1,4)*1-1&amp;"-"&amp;RIGHT(F$1,2),DATA!$D$1:$HT$52,MATCH($A35,DATA!$B:$B,0),FALSE)-1,3),0)</f>
        <v>5.0999999999999997E-2</v>
      </c>
      <c r="G35">
        <f>IFERROR(ROUND(HLOOKUP(LEFT(G$1,4)&amp;"-"&amp;RIGHT(G$1,2),DATA!$D$1:$HT$52,MATCH($A35,DATA!$B:$B,0),FALSE)/HLOOKUP(LEFT(G$1,4)*1-1&amp;"-"&amp;RIGHT(G$1,2),DATA!$D$1:$HT$52,MATCH($A35,DATA!$B:$B,0),FALSE)-1,3),0)</f>
        <v>6.8000000000000005E-2</v>
      </c>
      <c r="H35">
        <f>IFERROR(ROUND(HLOOKUP(LEFT(H$1,4)&amp;"-"&amp;RIGHT(H$1,2),DATA!$D$1:$HT$52,MATCH($A35,DATA!$B:$B,0),FALSE)/HLOOKUP(LEFT(H$1,4)*1-1&amp;"-"&amp;RIGHT(H$1,2),DATA!$D$1:$HT$52,MATCH($A35,DATA!$B:$B,0),FALSE)-1,3),0)</f>
        <v>2.3E-2</v>
      </c>
      <c r="I35">
        <f>IFERROR(ROUND(HLOOKUP(LEFT(I$1,4)&amp;"-"&amp;RIGHT(I$1,2),DATA!$D$1:$HT$52,MATCH($A35,DATA!$B:$B,0),FALSE)/HLOOKUP(LEFT(I$1,4)*1-1&amp;"-"&amp;RIGHT(I$1,2),DATA!$D$1:$HT$52,MATCH($A35,DATA!$B:$B,0),FALSE)-1,3),0)</f>
        <v>-2.9000000000000001E-2</v>
      </c>
      <c r="J35">
        <f>IFERROR(ROUND(HLOOKUP(LEFT(J$1,4)&amp;"-"&amp;RIGHT(J$1,2),DATA!$D$1:$HT$52,MATCH($A35,DATA!$B:$B,0),FALSE)/HLOOKUP(LEFT(J$1,4)*1-1&amp;"-"&amp;RIGHT(J$1,2),DATA!$D$1:$HT$52,MATCH($A35,DATA!$B:$B,0),FALSE)-1,3),0)</f>
        <v>-3.3000000000000002E-2</v>
      </c>
      <c r="K35">
        <f>IFERROR(ROUND(HLOOKUP(LEFT(K$1,4)&amp;"-"&amp;RIGHT(K$1,2),DATA!$D$1:$HT$52,MATCH($A35,DATA!$B:$B,0),FALSE)/HLOOKUP(LEFT(K$1,4)*1-1&amp;"-"&amp;RIGHT(K$1,2),DATA!$D$1:$HT$52,MATCH($A35,DATA!$B:$B,0),FALSE)-1,3),0)</f>
        <v>-3.1E-2</v>
      </c>
      <c r="L35">
        <f>IFERROR(ROUND(HLOOKUP(LEFT(L$1,4)&amp;"-"&amp;RIGHT(L$1,2),DATA!$D$1:$HT$52,MATCH($A35,DATA!$B:$B,0),FALSE)/HLOOKUP(LEFT(L$1,4)*1-1&amp;"-"&amp;RIGHT(L$1,2),DATA!$D$1:$HT$52,MATCH($A35,DATA!$B:$B,0),FALSE)-1,3),0)</f>
        <v>-3.6999999999999998E-2</v>
      </c>
      <c r="M35">
        <f>IFERROR(ROUND(HLOOKUP(LEFT(M$1,4)&amp;"-"&amp;RIGHT(M$1,2),DATA!$D$1:$HT$52,MATCH($A35,DATA!$B:$B,0),FALSE)/HLOOKUP(LEFT(M$1,4)*1-1&amp;"-"&amp;RIGHT(M$1,2),DATA!$D$1:$HT$52,MATCH($A35,DATA!$B:$B,0),FALSE)-1,3),0)</f>
        <v>1E-3</v>
      </c>
      <c r="N35">
        <f>IFERROR(ROUND(HLOOKUP(LEFT(N$1,4)&amp;"-"&amp;RIGHT(N$1,2),DATA!$D$1:$HT$52,MATCH($A35,DATA!$B:$B,0),FALSE)/HLOOKUP(LEFT(N$1,4)*1-1&amp;"-"&amp;RIGHT(N$1,2),DATA!$D$1:$HT$52,MATCH($A35,DATA!$B:$B,0),FALSE)-1,3),0)</f>
        <v>0.03</v>
      </c>
      <c r="O35">
        <f>IFERROR(ROUND(HLOOKUP(LEFT(O$1,4)&amp;"-"&amp;RIGHT(O$1,2),DATA!$D$1:$HT$52,MATCH($A35,DATA!$B:$B,0),FALSE)/HLOOKUP(LEFT(O$1,4)*1-1&amp;"-"&amp;RIGHT(O$1,2),DATA!$D$1:$HT$52,MATCH($A35,DATA!$B:$B,0),FALSE)-1,3),0)</f>
        <v>2.1999999999999999E-2</v>
      </c>
      <c r="P35">
        <f>IFERROR(ROUND(HLOOKUP(LEFT(P$1,4)&amp;"-"&amp;RIGHT(P$1,2),DATA!$D$1:$HT$52,MATCH($A35,DATA!$B:$B,0),FALSE)/HLOOKUP(LEFT(P$1,4)*1-1&amp;"-"&amp;RIGHT(P$1,2),DATA!$D$1:$HT$52,MATCH($A35,DATA!$B:$B,0),FALSE)-1,3),0)</f>
        <v>3.6999999999999998E-2</v>
      </c>
      <c r="Q35">
        <f>IFERROR(ROUND(HLOOKUP(LEFT(Q$1,4)&amp;"-"&amp;RIGHT(Q$1,2),DATA!$D$1:$HT$52,MATCH($A35,DATA!$B:$B,0),FALSE)/HLOOKUP(LEFT(Q$1,4)*1-1&amp;"-"&amp;RIGHT(Q$1,2),DATA!$D$1:$HT$52,MATCH($A35,DATA!$B:$B,0),FALSE)-1,3),0)</f>
        <v>6.8000000000000005E-2</v>
      </c>
      <c r="R35">
        <f>IFERROR(ROUND(HLOOKUP(LEFT(R$1,4)&amp;"-"&amp;RIGHT(R$1,2),DATA!$D$1:$HT$52,MATCH($A35,DATA!$B:$B,0),FALSE)/HLOOKUP(LEFT(R$1,4)*1-1&amp;"-"&amp;RIGHT(R$1,2),DATA!$D$1:$HT$52,MATCH($A35,DATA!$B:$B,0),FALSE)-1,3),0)</f>
        <v>6.2E-2</v>
      </c>
    </row>
    <row r="36" spans="1:18" x14ac:dyDescent="0.3">
      <c r="A36" t="s">
        <v>275</v>
      </c>
      <c r="B36">
        <f>IFERROR(ROUND(HLOOKUP(LEFT(B$1,4)&amp;"-"&amp;RIGHT(B$1,2),DATA!$D$1:$HT$52,MATCH($A36,DATA!$B:$B,0),FALSE)/HLOOKUP(LEFT(B$1,4)*1-1&amp;"-"&amp;RIGHT(B$1,2),DATA!$D$1:$HT$52,MATCH($A36,DATA!$B:$B,0),FALSE)-1,3),0)</f>
        <v>0</v>
      </c>
      <c r="C36">
        <f>IFERROR(ROUND(HLOOKUP(LEFT(C$1,4)&amp;"-"&amp;RIGHT(C$1,2),DATA!$D$1:$HT$52,MATCH($A36,DATA!$B:$B,0),FALSE)/HLOOKUP(LEFT(C$1,4)*1-1&amp;"-"&amp;RIGHT(C$1,2),DATA!$D$1:$HT$52,MATCH($A36,DATA!$B:$B,0),FALSE)-1,3),0)</f>
        <v>0</v>
      </c>
      <c r="D36">
        <f>IFERROR(ROUND(HLOOKUP(LEFT(D$1,4)&amp;"-"&amp;RIGHT(D$1,2),DATA!$D$1:$HT$52,MATCH($A36,DATA!$B:$B,0),FALSE)/HLOOKUP(LEFT(D$1,4)*1-1&amp;"-"&amp;RIGHT(D$1,2),DATA!$D$1:$HT$52,MATCH($A36,DATA!$B:$B,0),FALSE)-1,3),0)</f>
        <v>0</v>
      </c>
      <c r="E36">
        <f>IFERROR(ROUND(HLOOKUP(LEFT(E$1,4)&amp;"-"&amp;RIGHT(E$1,2),DATA!$D$1:$HT$52,MATCH($A36,DATA!$B:$B,0),FALSE)/HLOOKUP(LEFT(E$1,4)*1-1&amp;"-"&amp;RIGHT(E$1,2),DATA!$D$1:$HT$52,MATCH($A36,DATA!$B:$B,0),FALSE)-1,3),0)</f>
        <v>0</v>
      </c>
      <c r="F36">
        <f>IFERROR(ROUND(HLOOKUP(LEFT(F$1,4)&amp;"-"&amp;RIGHT(F$1,2),DATA!$D$1:$HT$52,MATCH($A36,DATA!$B:$B,0),FALSE)/HLOOKUP(LEFT(F$1,4)*1-1&amp;"-"&amp;RIGHT(F$1,2),DATA!$D$1:$HT$52,MATCH($A36,DATA!$B:$B,0),FALSE)-1,3),0)</f>
        <v>0</v>
      </c>
      <c r="G36">
        <f>IFERROR(ROUND(HLOOKUP(LEFT(G$1,4)&amp;"-"&amp;RIGHT(G$1,2),DATA!$D$1:$HT$52,MATCH($A36,DATA!$B:$B,0),FALSE)/HLOOKUP(LEFT(G$1,4)*1-1&amp;"-"&amp;RIGHT(G$1,2),DATA!$D$1:$HT$52,MATCH($A36,DATA!$B:$B,0),FALSE)-1,3),0)</f>
        <v>4.4999999999999998E-2</v>
      </c>
      <c r="H36">
        <f>IFERROR(ROUND(HLOOKUP(LEFT(H$1,4)&amp;"-"&amp;RIGHT(H$1,2),DATA!$D$1:$HT$52,MATCH($A36,DATA!$B:$B,0),FALSE)/HLOOKUP(LEFT(H$1,4)*1-1&amp;"-"&amp;RIGHT(H$1,2),DATA!$D$1:$HT$52,MATCH($A36,DATA!$B:$B,0),FALSE)-1,3),0)</f>
        <v>4.9000000000000002E-2</v>
      </c>
      <c r="I36">
        <f>IFERROR(ROUND(HLOOKUP(LEFT(I$1,4)&amp;"-"&amp;RIGHT(I$1,2),DATA!$D$1:$HT$52,MATCH($A36,DATA!$B:$B,0),FALSE)/HLOOKUP(LEFT(I$1,4)*1-1&amp;"-"&amp;RIGHT(I$1,2),DATA!$D$1:$HT$52,MATCH($A36,DATA!$B:$B,0),FALSE)-1,3),0)</f>
        <v>4.0000000000000001E-3</v>
      </c>
      <c r="J36">
        <f>IFERROR(ROUND(HLOOKUP(LEFT(J$1,4)&amp;"-"&amp;RIGHT(J$1,2),DATA!$D$1:$HT$52,MATCH($A36,DATA!$B:$B,0),FALSE)/HLOOKUP(LEFT(J$1,4)*1-1&amp;"-"&amp;RIGHT(J$1,2),DATA!$D$1:$HT$52,MATCH($A36,DATA!$B:$B,0),FALSE)-1,3),0)</f>
        <v>1.2999999999999999E-2</v>
      </c>
      <c r="K36">
        <f>IFERROR(ROUND(HLOOKUP(LEFT(K$1,4)&amp;"-"&amp;RIGHT(K$1,2),DATA!$D$1:$HT$52,MATCH($A36,DATA!$B:$B,0),FALSE)/HLOOKUP(LEFT(K$1,4)*1-1&amp;"-"&amp;RIGHT(K$1,2),DATA!$D$1:$HT$52,MATCH($A36,DATA!$B:$B,0),FALSE)-1,3),0)</f>
        <v>4.1000000000000002E-2</v>
      </c>
      <c r="L36">
        <f>IFERROR(ROUND(HLOOKUP(LEFT(L$1,4)&amp;"-"&amp;RIGHT(L$1,2),DATA!$D$1:$HT$52,MATCH($A36,DATA!$B:$B,0),FALSE)/HLOOKUP(LEFT(L$1,4)*1-1&amp;"-"&amp;RIGHT(L$1,2),DATA!$D$1:$HT$52,MATCH($A36,DATA!$B:$B,0),FALSE)-1,3),0)</f>
        <v>1.4999999999999999E-2</v>
      </c>
      <c r="M36">
        <f>IFERROR(ROUND(HLOOKUP(LEFT(M$1,4)&amp;"-"&amp;RIGHT(M$1,2),DATA!$D$1:$HT$52,MATCH($A36,DATA!$B:$B,0),FALSE)/HLOOKUP(LEFT(M$1,4)*1-1&amp;"-"&amp;RIGHT(M$1,2),DATA!$D$1:$HT$52,MATCH($A36,DATA!$B:$B,0),FALSE)-1,3),0)</f>
        <v>7.0000000000000007E-2</v>
      </c>
      <c r="N36">
        <f>IFERROR(ROUND(HLOOKUP(LEFT(N$1,4)&amp;"-"&amp;RIGHT(N$1,2),DATA!$D$1:$HT$52,MATCH($A36,DATA!$B:$B,0),FALSE)/HLOOKUP(LEFT(N$1,4)*1-1&amp;"-"&amp;RIGHT(N$1,2),DATA!$D$1:$HT$52,MATCH($A36,DATA!$B:$B,0),FALSE)-1,3),0)</f>
        <v>9.5000000000000001E-2</v>
      </c>
      <c r="O36">
        <f>IFERROR(ROUND(HLOOKUP(LEFT(O$1,4)&amp;"-"&amp;RIGHT(O$1,2),DATA!$D$1:$HT$52,MATCH($A36,DATA!$B:$B,0),FALSE)/HLOOKUP(LEFT(O$1,4)*1-1&amp;"-"&amp;RIGHT(O$1,2),DATA!$D$1:$HT$52,MATCH($A36,DATA!$B:$B,0),FALSE)-1,3),0)</f>
        <v>7.2999999999999995E-2</v>
      </c>
      <c r="P36">
        <f>IFERROR(ROUND(HLOOKUP(LEFT(P$1,4)&amp;"-"&amp;RIGHT(P$1,2),DATA!$D$1:$HT$52,MATCH($A36,DATA!$B:$B,0),FALSE)/HLOOKUP(LEFT(P$1,4)*1-1&amp;"-"&amp;RIGHT(P$1,2),DATA!$D$1:$HT$52,MATCH($A36,DATA!$B:$B,0),FALSE)-1,3),0)</f>
        <v>6.3E-2</v>
      </c>
      <c r="Q36">
        <f>IFERROR(ROUND(HLOOKUP(LEFT(Q$1,4)&amp;"-"&amp;RIGHT(Q$1,2),DATA!$D$1:$HT$52,MATCH($A36,DATA!$B:$B,0),FALSE)/HLOOKUP(LEFT(Q$1,4)*1-1&amp;"-"&amp;RIGHT(Q$1,2),DATA!$D$1:$HT$52,MATCH($A36,DATA!$B:$B,0),FALSE)-1,3),0)</f>
        <v>4.5999999999999999E-2</v>
      </c>
      <c r="R36">
        <f>IFERROR(ROUND(HLOOKUP(LEFT(R$1,4)&amp;"-"&amp;RIGHT(R$1,2),DATA!$D$1:$HT$52,MATCH($A36,DATA!$B:$B,0),FALSE)/HLOOKUP(LEFT(R$1,4)*1-1&amp;"-"&amp;RIGHT(R$1,2),DATA!$D$1:$HT$52,MATCH($A36,DATA!$B:$B,0),FALSE)-1,3),0)</f>
        <v>1.7000000000000001E-2</v>
      </c>
    </row>
    <row r="37" spans="1:18" x14ac:dyDescent="0.3">
      <c r="A37" t="s">
        <v>234</v>
      </c>
      <c r="B37">
        <f>IFERROR(ROUND(HLOOKUP(LEFT(B$1,4)&amp;"-"&amp;RIGHT(B$1,2),DATA!$D$1:$HT$52,MATCH($A37,DATA!$B:$B,0),FALSE)/HLOOKUP(LEFT(B$1,4)*1-1&amp;"-"&amp;RIGHT(B$1,2),DATA!$D$1:$HT$52,MATCH($A37,DATA!$B:$B,0),FALSE)-1,3),0)</f>
        <v>0.05</v>
      </c>
      <c r="C37">
        <f>IFERROR(ROUND(HLOOKUP(LEFT(C$1,4)&amp;"-"&amp;RIGHT(C$1,2),DATA!$D$1:$HT$52,MATCH($A37,DATA!$B:$B,0),FALSE)/HLOOKUP(LEFT(C$1,4)*1-1&amp;"-"&amp;RIGHT(C$1,2),DATA!$D$1:$HT$52,MATCH($A37,DATA!$B:$B,0),FALSE)-1,3),0)</f>
        <v>4.1000000000000002E-2</v>
      </c>
      <c r="D37">
        <f>IFERROR(ROUND(HLOOKUP(LEFT(D$1,4)&amp;"-"&amp;RIGHT(D$1,2),DATA!$D$1:$HT$52,MATCH($A37,DATA!$B:$B,0),FALSE)/HLOOKUP(LEFT(D$1,4)*1-1&amp;"-"&amp;RIGHT(D$1,2),DATA!$D$1:$HT$52,MATCH($A37,DATA!$B:$B,0),FALSE)-1,3),0)</f>
        <v>4.1000000000000002E-2</v>
      </c>
      <c r="E37">
        <f>IFERROR(ROUND(HLOOKUP(LEFT(E$1,4)&amp;"-"&amp;RIGHT(E$1,2),DATA!$D$1:$HT$52,MATCH($A37,DATA!$B:$B,0),FALSE)/HLOOKUP(LEFT(E$1,4)*1-1&amp;"-"&amp;RIGHT(E$1,2),DATA!$D$1:$HT$52,MATCH($A37,DATA!$B:$B,0),FALSE)-1,3),0)</f>
        <v>3.2000000000000001E-2</v>
      </c>
      <c r="F37">
        <f>IFERROR(ROUND(HLOOKUP(LEFT(F$1,4)&amp;"-"&amp;RIGHT(F$1,2),DATA!$D$1:$HT$52,MATCH($A37,DATA!$B:$B,0),FALSE)/HLOOKUP(LEFT(F$1,4)*1-1&amp;"-"&amp;RIGHT(F$1,2),DATA!$D$1:$HT$52,MATCH($A37,DATA!$B:$B,0),FALSE)-1,3),0)</f>
        <v>2.1999999999999999E-2</v>
      </c>
      <c r="G37">
        <f>IFERROR(ROUND(HLOOKUP(LEFT(G$1,4)&amp;"-"&amp;RIGHT(G$1,2),DATA!$D$1:$HT$52,MATCH($A37,DATA!$B:$B,0),FALSE)/HLOOKUP(LEFT(G$1,4)*1-1&amp;"-"&amp;RIGHT(G$1,2),DATA!$D$1:$HT$52,MATCH($A37,DATA!$B:$B,0),FALSE)-1,3),0)</f>
        <v>0</v>
      </c>
      <c r="H37">
        <f>IFERROR(ROUND(HLOOKUP(LEFT(H$1,4)&amp;"-"&amp;RIGHT(H$1,2),DATA!$D$1:$HT$52,MATCH($A37,DATA!$B:$B,0),FALSE)/HLOOKUP(LEFT(H$1,4)*1-1&amp;"-"&amp;RIGHT(H$1,2),DATA!$D$1:$HT$52,MATCH($A37,DATA!$B:$B,0),FALSE)-1,3),0)</f>
        <v>-3.3000000000000002E-2</v>
      </c>
      <c r="I37">
        <f>IFERROR(ROUND(HLOOKUP(LEFT(I$1,4)&amp;"-"&amp;RIGHT(I$1,2),DATA!$D$1:$HT$52,MATCH($A37,DATA!$B:$B,0),FALSE)/HLOOKUP(LEFT(I$1,4)*1-1&amp;"-"&amp;RIGHT(I$1,2),DATA!$D$1:$HT$52,MATCH($A37,DATA!$B:$B,0),FALSE)-1,3),0)</f>
        <v>-5.5E-2</v>
      </c>
      <c r="J37">
        <f>IFERROR(ROUND(HLOOKUP(LEFT(J$1,4)&amp;"-"&amp;RIGHT(J$1,2),DATA!$D$1:$HT$52,MATCH($A37,DATA!$B:$B,0),FALSE)/HLOOKUP(LEFT(J$1,4)*1-1&amp;"-"&amp;RIGHT(J$1,2),DATA!$D$1:$HT$52,MATCH($A37,DATA!$B:$B,0),FALSE)-1,3),0)</f>
        <v>-3.4000000000000002E-2</v>
      </c>
      <c r="K37">
        <f>IFERROR(ROUND(HLOOKUP(LEFT(K$1,4)&amp;"-"&amp;RIGHT(K$1,2),DATA!$D$1:$HT$52,MATCH($A37,DATA!$B:$B,0),FALSE)/HLOOKUP(LEFT(K$1,4)*1-1&amp;"-"&amp;RIGHT(K$1,2),DATA!$D$1:$HT$52,MATCH($A37,DATA!$B:$B,0),FALSE)-1,3),0)</f>
        <v>-2.5000000000000001E-2</v>
      </c>
      <c r="L37">
        <f>IFERROR(ROUND(HLOOKUP(LEFT(L$1,4)&amp;"-"&amp;RIGHT(L$1,2),DATA!$D$1:$HT$52,MATCH($A37,DATA!$B:$B,0),FALSE)/HLOOKUP(LEFT(L$1,4)*1-1&amp;"-"&amp;RIGHT(L$1,2),DATA!$D$1:$HT$52,MATCH($A37,DATA!$B:$B,0),FALSE)-1,3),0)</f>
        <v>-4.4999999999999998E-2</v>
      </c>
      <c r="M37">
        <f>IFERROR(ROUND(HLOOKUP(LEFT(M$1,4)&amp;"-"&amp;RIGHT(M$1,2),DATA!$D$1:$HT$52,MATCH($A37,DATA!$B:$B,0),FALSE)/HLOOKUP(LEFT(M$1,4)*1-1&amp;"-"&amp;RIGHT(M$1,2),DATA!$D$1:$HT$52,MATCH($A37,DATA!$B:$B,0),FALSE)-1,3),0)</f>
        <v>4.0000000000000001E-3</v>
      </c>
      <c r="N37">
        <f>IFERROR(ROUND(HLOOKUP(LEFT(N$1,4)&amp;"-"&amp;RIGHT(N$1,2),DATA!$D$1:$HT$52,MATCH($A37,DATA!$B:$B,0),FALSE)/HLOOKUP(LEFT(N$1,4)*1-1&amp;"-"&amp;RIGHT(N$1,2),DATA!$D$1:$HT$52,MATCH($A37,DATA!$B:$B,0),FALSE)-1,3),0)</f>
        <v>0.03</v>
      </c>
      <c r="O37">
        <f>IFERROR(ROUND(HLOOKUP(LEFT(O$1,4)&amp;"-"&amp;RIGHT(O$1,2),DATA!$D$1:$HT$52,MATCH($A37,DATA!$B:$B,0),FALSE)/HLOOKUP(LEFT(O$1,4)*1-1&amp;"-"&amp;RIGHT(O$1,2),DATA!$D$1:$HT$52,MATCH($A37,DATA!$B:$B,0),FALSE)-1,3),0)</f>
        <v>4.2000000000000003E-2</v>
      </c>
      <c r="P37">
        <f>IFERROR(ROUND(HLOOKUP(LEFT(P$1,4)&amp;"-"&amp;RIGHT(P$1,2),DATA!$D$1:$HT$52,MATCH($A37,DATA!$B:$B,0),FALSE)/HLOOKUP(LEFT(P$1,4)*1-1&amp;"-"&amp;RIGHT(P$1,2),DATA!$D$1:$HT$52,MATCH($A37,DATA!$B:$B,0),FALSE)-1,3),0)</f>
        <v>0.04</v>
      </c>
      <c r="Q37">
        <f>IFERROR(ROUND(HLOOKUP(LEFT(Q$1,4)&amp;"-"&amp;RIGHT(Q$1,2),DATA!$D$1:$HT$52,MATCH($A37,DATA!$B:$B,0),FALSE)/HLOOKUP(LEFT(Q$1,4)*1-1&amp;"-"&amp;RIGHT(Q$1,2),DATA!$D$1:$HT$52,MATCH($A37,DATA!$B:$B,0),FALSE)-1,3),0)</f>
        <v>5.3999999999999999E-2</v>
      </c>
      <c r="R37">
        <f>IFERROR(ROUND(HLOOKUP(LEFT(R$1,4)&amp;"-"&amp;RIGHT(R$1,2),DATA!$D$1:$HT$52,MATCH($A37,DATA!$B:$B,0),FALSE)/HLOOKUP(LEFT(R$1,4)*1-1&amp;"-"&amp;RIGHT(R$1,2),DATA!$D$1:$HT$52,MATCH($A37,DATA!$B:$B,0),FALSE)-1,3),0)</f>
        <v>6.9000000000000006E-2</v>
      </c>
    </row>
    <row r="38" spans="1:18" x14ac:dyDescent="0.3">
      <c r="A38" t="s">
        <v>255</v>
      </c>
      <c r="B38">
        <f>IFERROR(ROUND(HLOOKUP(LEFT(B$1,4)&amp;"-"&amp;RIGHT(B$1,2),DATA!$D$1:$HT$52,MATCH($A38,DATA!$B:$B,0),FALSE)/HLOOKUP(LEFT(B$1,4)*1-1&amp;"-"&amp;RIGHT(B$1,2),DATA!$D$1:$HT$52,MATCH($A38,DATA!$B:$B,0),FALSE)-1,3),0)</f>
        <v>2.9000000000000001E-2</v>
      </c>
      <c r="C38">
        <f>IFERROR(ROUND(HLOOKUP(LEFT(C$1,4)&amp;"-"&amp;RIGHT(C$1,2),DATA!$D$1:$HT$52,MATCH($A38,DATA!$B:$B,0),FALSE)/HLOOKUP(LEFT(C$1,4)*1-1&amp;"-"&amp;RIGHT(C$1,2),DATA!$D$1:$HT$52,MATCH($A38,DATA!$B:$B,0),FALSE)-1,3),0)</f>
        <v>5.8999999999999997E-2</v>
      </c>
      <c r="D38">
        <f>IFERROR(ROUND(HLOOKUP(LEFT(D$1,4)&amp;"-"&amp;RIGHT(D$1,2),DATA!$D$1:$HT$52,MATCH($A38,DATA!$B:$B,0),FALSE)/HLOOKUP(LEFT(D$1,4)*1-1&amp;"-"&amp;RIGHT(D$1,2),DATA!$D$1:$HT$52,MATCH($A38,DATA!$B:$B,0),FALSE)-1,3),0)</f>
        <v>4.1000000000000002E-2</v>
      </c>
      <c r="E38">
        <f>IFERROR(ROUND(HLOOKUP(LEFT(E$1,4)&amp;"-"&amp;RIGHT(E$1,2),DATA!$D$1:$HT$52,MATCH($A38,DATA!$B:$B,0),FALSE)/HLOOKUP(LEFT(E$1,4)*1-1&amp;"-"&amp;RIGHT(E$1,2),DATA!$D$1:$HT$52,MATCH($A38,DATA!$B:$B,0),FALSE)-1,3),0)</f>
        <v>4.8000000000000001E-2</v>
      </c>
      <c r="F38">
        <f>IFERROR(ROUND(HLOOKUP(LEFT(F$1,4)&amp;"-"&amp;RIGHT(F$1,2),DATA!$D$1:$HT$52,MATCH($A38,DATA!$B:$B,0),FALSE)/HLOOKUP(LEFT(F$1,4)*1-1&amp;"-"&amp;RIGHT(F$1,2),DATA!$D$1:$HT$52,MATCH($A38,DATA!$B:$B,0),FALSE)-1,3),0)</f>
        <v>4.1000000000000002E-2</v>
      </c>
      <c r="G38">
        <f>IFERROR(ROUND(HLOOKUP(LEFT(G$1,4)&amp;"-"&amp;RIGHT(G$1,2),DATA!$D$1:$HT$52,MATCH($A38,DATA!$B:$B,0),FALSE)/HLOOKUP(LEFT(G$1,4)*1-1&amp;"-"&amp;RIGHT(G$1,2),DATA!$D$1:$HT$52,MATCH($A38,DATA!$B:$B,0),FALSE)-1,3),0)</f>
        <v>4.9000000000000002E-2</v>
      </c>
      <c r="H38">
        <f>IFERROR(ROUND(HLOOKUP(LEFT(H$1,4)&amp;"-"&amp;RIGHT(H$1,2),DATA!$D$1:$HT$52,MATCH($A38,DATA!$B:$B,0),FALSE)/HLOOKUP(LEFT(H$1,4)*1-1&amp;"-"&amp;RIGHT(H$1,2),DATA!$D$1:$HT$52,MATCH($A38,DATA!$B:$B,0),FALSE)-1,3),0)</f>
        <v>3.4000000000000002E-2</v>
      </c>
      <c r="I38">
        <f>IFERROR(ROUND(HLOOKUP(LEFT(I$1,4)&amp;"-"&amp;RIGHT(I$1,2),DATA!$D$1:$HT$52,MATCH($A38,DATA!$B:$B,0),FALSE)/HLOOKUP(LEFT(I$1,4)*1-1&amp;"-"&amp;RIGHT(I$1,2),DATA!$D$1:$HT$52,MATCH($A38,DATA!$B:$B,0),FALSE)-1,3),0)</f>
        <v>1.2999999999999999E-2</v>
      </c>
      <c r="J38">
        <f>IFERROR(ROUND(HLOOKUP(LEFT(J$1,4)&amp;"-"&amp;RIGHT(J$1,2),DATA!$D$1:$HT$52,MATCH($A38,DATA!$B:$B,0),FALSE)/HLOOKUP(LEFT(J$1,4)*1-1&amp;"-"&amp;RIGHT(J$1,2),DATA!$D$1:$HT$52,MATCH($A38,DATA!$B:$B,0),FALSE)-1,3),0)</f>
        <v>0.02</v>
      </c>
      <c r="K38">
        <f>IFERROR(ROUND(HLOOKUP(LEFT(K$1,4)&amp;"-"&amp;RIGHT(K$1,2),DATA!$D$1:$HT$52,MATCH($A38,DATA!$B:$B,0),FALSE)/HLOOKUP(LEFT(K$1,4)*1-1&amp;"-"&amp;RIGHT(K$1,2),DATA!$D$1:$HT$52,MATCH($A38,DATA!$B:$B,0),FALSE)-1,3),0)</f>
        <v>-0.01</v>
      </c>
      <c r="L38">
        <f>IFERROR(ROUND(HLOOKUP(LEFT(L$1,4)&amp;"-"&amp;RIGHT(L$1,2),DATA!$D$1:$HT$52,MATCH($A38,DATA!$B:$B,0),FALSE)/HLOOKUP(LEFT(L$1,4)*1-1&amp;"-"&amp;RIGHT(L$1,2),DATA!$D$1:$HT$52,MATCH($A38,DATA!$B:$B,0),FALSE)-1,3),0)</f>
        <v>-2.4E-2</v>
      </c>
      <c r="M38">
        <f>IFERROR(ROUND(HLOOKUP(LEFT(M$1,4)&amp;"-"&amp;RIGHT(M$1,2),DATA!$D$1:$HT$52,MATCH($A38,DATA!$B:$B,0),FALSE)/HLOOKUP(LEFT(M$1,4)*1-1&amp;"-"&amp;RIGHT(M$1,2),DATA!$D$1:$HT$52,MATCH($A38,DATA!$B:$B,0),FALSE)-1,3),0)</f>
        <v>1E-3</v>
      </c>
      <c r="N38">
        <f>IFERROR(ROUND(HLOOKUP(LEFT(N$1,4)&amp;"-"&amp;RIGHT(N$1,2),DATA!$D$1:$HT$52,MATCH($A38,DATA!$B:$B,0),FALSE)/HLOOKUP(LEFT(N$1,4)*1-1&amp;"-"&amp;RIGHT(N$1,2),DATA!$D$1:$HT$52,MATCH($A38,DATA!$B:$B,0),FALSE)-1,3),0)</f>
        <v>1.2E-2</v>
      </c>
      <c r="O38">
        <f>IFERROR(ROUND(HLOOKUP(LEFT(O$1,4)&amp;"-"&amp;RIGHT(O$1,2),DATA!$D$1:$HT$52,MATCH($A38,DATA!$B:$B,0),FALSE)/HLOOKUP(LEFT(O$1,4)*1-1&amp;"-"&amp;RIGHT(O$1,2),DATA!$D$1:$HT$52,MATCH($A38,DATA!$B:$B,0),FALSE)-1,3),0)</f>
        <v>1.7999999999999999E-2</v>
      </c>
      <c r="P38">
        <f>IFERROR(ROUND(HLOOKUP(LEFT(P$1,4)&amp;"-"&amp;RIGHT(P$1,2),DATA!$D$1:$HT$52,MATCH($A38,DATA!$B:$B,0),FALSE)/HLOOKUP(LEFT(P$1,4)*1-1&amp;"-"&amp;RIGHT(P$1,2),DATA!$D$1:$HT$52,MATCH($A38,DATA!$B:$B,0),FALSE)-1,3),0)</f>
        <v>4.4999999999999998E-2</v>
      </c>
      <c r="Q38">
        <f>IFERROR(ROUND(HLOOKUP(LEFT(Q$1,4)&amp;"-"&amp;RIGHT(Q$1,2),DATA!$D$1:$HT$52,MATCH($A38,DATA!$B:$B,0),FALSE)/HLOOKUP(LEFT(Q$1,4)*1-1&amp;"-"&amp;RIGHT(Q$1,2),DATA!$D$1:$HT$52,MATCH($A38,DATA!$B:$B,0),FALSE)-1,3),0)</f>
        <v>9.7000000000000003E-2</v>
      </c>
      <c r="R38">
        <f>IFERROR(ROUND(HLOOKUP(LEFT(R$1,4)&amp;"-"&amp;RIGHT(R$1,2),DATA!$D$1:$HT$52,MATCH($A38,DATA!$B:$B,0),FALSE)/HLOOKUP(LEFT(R$1,4)*1-1&amp;"-"&amp;RIGHT(R$1,2),DATA!$D$1:$HT$52,MATCH($A38,DATA!$B:$B,0),FALSE)-1,3),0)</f>
        <v>5.8000000000000003E-2</v>
      </c>
    </row>
    <row r="39" spans="1:18" x14ac:dyDescent="0.3">
      <c r="A39" t="s">
        <v>254</v>
      </c>
      <c r="B39">
        <f>IFERROR(ROUND(HLOOKUP(LEFT(B$1,4)&amp;"-"&amp;RIGHT(B$1,2),DATA!$D$1:$HT$52,MATCH($A39,DATA!$B:$B,0),FALSE)/HLOOKUP(LEFT(B$1,4)*1-1&amp;"-"&amp;RIGHT(B$1,2),DATA!$D$1:$HT$52,MATCH($A39,DATA!$B:$B,0),FALSE)-1,3),0)</f>
        <v>4.4999999999999998E-2</v>
      </c>
      <c r="C39">
        <f>IFERROR(ROUND(HLOOKUP(LEFT(C$1,4)&amp;"-"&amp;RIGHT(C$1,2),DATA!$D$1:$HT$52,MATCH($A39,DATA!$B:$B,0),FALSE)/HLOOKUP(LEFT(C$1,4)*1-1&amp;"-"&amp;RIGHT(C$1,2),DATA!$D$1:$HT$52,MATCH($A39,DATA!$B:$B,0),FALSE)-1,3),0)</f>
        <v>0.05</v>
      </c>
      <c r="D39">
        <f>IFERROR(ROUND(HLOOKUP(LEFT(D$1,4)&amp;"-"&amp;RIGHT(D$1,2),DATA!$D$1:$HT$52,MATCH($A39,DATA!$B:$B,0),FALSE)/HLOOKUP(LEFT(D$1,4)*1-1&amp;"-"&amp;RIGHT(D$1,2),DATA!$D$1:$HT$52,MATCH($A39,DATA!$B:$B,0),FALSE)-1,3),0)</f>
        <v>6.5000000000000002E-2</v>
      </c>
      <c r="E39">
        <f>IFERROR(ROUND(HLOOKUP(LEFT(E$1,4)&amp;"-"&amp;RIGHT(E$1,2),DATA!$D$1:$HT$52,MATCH($A39,DATA!$B:$B,0),FALSE)/HLOOKUP(LEFT(E$1,4)*1-1&amp;"-"&amp;RIGHT(E$1,2),DATA!$D$1:$HT$52,MATCH($A39,DATA!$B:$B,0),FALSE)-1,3),0)</f>
        <v>0.125</v>
      </c>
      <c r="F39">
        <f>IFERROR(ROUND(HLOOKUP(LEFT(F$1,4)&amp;"-"&amp;RIGHT(F$1,2),DATA!$D$1:$HT$52,MATCH($A39,DATA!$B:$B,0),FALSE)/HLOOKUP(LEFT(F$1,4)*1-1&amp;"-"&amp;RIGHT(F$1,2),DATA!$D$1:$HT$52,MATCH($A39,DATA!$B:$B,0),FALSE)-1,3),0)</f>
        <v>0.245</v>
      </c>
      <c r="G39">
        <f>IFERROR(ROUND(HLOOKUP(LEFT(G$1,4)&amp;"-"&amp;RIGHT(G$1,2),DATA!$D$1:$HT$52,MATCH($A39,DATA!$B:$B,0),FALSE)/HLOOKUP(LEFT(G$1,4)*1-1&amp;"-"&amp;RIGHT(G$1,2),DATA!$D$1:$HT$52,MATCH($A39,DATA!$B:$B,0),FALSE)-1,3),0)</f>
        <v>0.10100000000000001</v>
      </c>
      <c r="H39">
        <f>IFERROR(ROUND(HLOOKUP(LEFT(H$1,4)&amp;"-"&amp;RIGHT(H$1,2),DATA!$D$1:$HT$52,MATCH($A39,DATA!$B:$B,0),FALSE)/HLOOKUP(LEFT(H$1,4)*1-1&amp;"-"&amp;RIGHT(H$1,2),DATA!$D$1:$HT$52,MATCH($A39,DATA!$B:$B,0),FALSE)-1,3),0)</f>
        <v>-1.4999999999999999E-2</v>
      </c>
      <c r="I39">
        <f>IFERROR(ROUND(HLOOKUP(LEFT(I$1,4)&amp;"-"&amp;RIGHT(I$1,2),DATA!$D$1:$HT$52,MATCH($A39,DATA!$B:$B,0),FALSE)/HLOOKUP(LEFT(I$1,4)*1-1&amp;"-"&amp;RIGHT(I$1,2),DATA!$D$1:$HT$52,MATCH($A39,DATA!$B:$B,0),FALSE)-1,3),0)</f>
        <v>-8.2000000000000003E-2</v>
      </c>
      <c r="J39">
        <f>IFERROR(ROUND(HLOOKUP(LEFT(J$1,4)&amp;"-"&amp;RIGHT(J$1,2),DATA!$D$1:$HT$52,MATCH($A39,DATA!$B:$B,0),FALSE)/HLOOKUP(LEFT(J$1,4)*1-1&amp;"-"&amp;RIGHT(J$1,2),DATA!$D$1:$HT$52,MATCH($A39,DATA!$B:$B,0),FALSE)-1,3),0)</f>
        <v>-7.0000000000000007E-2</v>
      </c>
      <c r="K39">
        <f>IFERROR(ROUND(HLOOKUP(LEFT(K$1,4)&amp;"-"&amp;RIGHT(K$1,2),DATA!$D$1:$HT$52,MATCH($A39,DATA!$B:$B,0),FALSE)/HLOOKUP(LEFT(K$1,4)*1-1&amp;"-"&amp;RIGHT(K$1,2),DATA!$D$1:$HT$52,MATCH($A39,DATA!$B:$B,0),FALSE)-1,3),0)</f>
        <v>-0.08</v>
      </c>
      <c r="L39">
        <f>IFERROR(ROUND(HLOOKUP(LEFT(L$1,4)&amp;"-"&amp;RIGHT(L$1,2),DATA!$D$1:$HT$52,MATCH($A39,DATA!$B:$B,0),FALSE)/HLOOKUP(LEFT(L$1,4)*1-1&amp;"-"&amp;RIGHT(L$1,2),DATA!$D$1:$HT$52,MATCH($A39,DATA!$B:$B,0),FALSE)-1,3),0)</f>
        <v>-6.4000000000000001E-2</v>
      </c>
      <c r="M39">
        <f>IFERROR(ROUND(HLOOKUP(LEFT(M$1,4)&amp;"-"&amp;RIGHT(M$1,2),DATA!$D$1:$HT$52,MATCH($A39,DATA!$B:$B,0),FALSE)/HLOOKUP(LEFT(M$1,4)*1-1&amp;"-"&amp;RIGHT(M$1,2),DATA!$D$1:$HT$52,MATCH($A39,DATA!$B:$B,0),FALSE)-1,3),0)</f>
        <v>4.1000000000000002E-2</v>
      </c>
      <c r="N39">
        <f>IFERROR(ROUND(HLOOKUP(LEFT(N$1,4)&amp;"-"&amp;RIGHT(N$1,2),DATA!$D$1:$HT$52,MATCH($A39,DATA!$B:$B,0),FALSE)/HLOOKUP(LEFT(N$1,4)*1-1&amp;"-"&amp;RIGHT(N$1,2),DATA!$D$1:$HT$52,MATCH($A39,DATA!$B:$B,0),FALSE)-1,3),0)</f>
        <v>0.11</v>
      </c>
      <c r="O39">
        <f>IFERROR(ROUND(HLOOKUP(LEFT(O$1,4)&amp;"-"&amp;RIGHT(O$1,2),DATA!$D$1:$HT$52,MATCH($A39,DATA!$B:$B,0),FALSE)/HLOOKUP(LEFT(O$1,4)*1-1&amp;"-"&amp;RIGHT(O$1,2),DATA!$D$1:$HT$52,MATCH($A39,DATA!$B:$B,0),FALSE)-1,3),0)</f>
        <v>7.4999999999999997E-2</v>
      </c>
      <c r="P39">
        <f>IFERROR(ROUND(HLOOKUP(LEFT(P$1,4)&amp;"-"&amp;RIGHT(P$1,2),DATA!$D$1:$HT$52,MATCH($A39,DATA!$B:$B,0),FALSE)/HLOOKUP(LEFT(P$1,4)*1-1&amp;"-"&amp;RIGHT(P$1,2),DATA!$D$1:$HT$52,MATCH($A39,DATA!$B:$B,0),FALSE)-1,3),0)</f>
        <v>0.113</v>
      </c>
      <c r="Q39">
        <f>IFERROR(ROUND(HLOOKUP(LEFT(Q$1,4)&amp;"-"&amp;RIGHT(Q$1,2),DATA!$D$1:$HT$52,MATCH($A39,DATA!$B:$B,0),FALSE)/HLOOKUP(LEFT(Q$1,4)*1-1&amp;"-"&amp;RIGHT(Q$1,2),DATA!$D$1:$HT$52,MATCH($A39,DATA!$B:$B,0),FALSE)-1,3),0)</f>
        <v>0.13</v>
      </c>
      <c r="R39">
        <f>IFERROR(ROUND(HLOOKUP(LEFT(R$1,4)&amp;"-"&amp;RIGHT(R$1,2),DATA!$D$1:$HT$52,MATCH($A39,DATA!$B:$B,0),FALSE)/HLOOKUP(LEFT(R$1,4)*1-1&amp;"-"&amp;RIGHT(R$1,2),DATA!$D$1:$HT$52,MATCH($A39,DATA!$B:$B,0),FALSE)-1,3),0)</f>
        <v>7.8E-2</v>
      </c>
    </row>
    <row r="40" spans="1:18" x14ac:dyDescent="0.3">
      <c r="A40" t="s">
        <v>233</v>
      </c>
      <c r="B40">
        <f>IFERROR(ROUND(HLOOKUP(LEFT(B$1,4)&amp;"-"&amp;RIGHT(B$1,2),DATA!$D$1:$HT$52,MATCH($A40,DATA!$B:$B,0),FALSE)/HLOOKUP(LEFT(B$1,4)*1-1&amp;"-"&amp;RIGHT(B$1,2),DATA!$D$1:$HT$52,MATCH($A40,DATA!$B:$B,0),FALSE)-1,3),0)</f>
        <v>8.8999999999999996E-2</v>
      </c>
      <c r="C40">
        <f>IFERROR(ROUND(HLOOKUP(LEFT(C$1,4)&amp;"-"&amp;RIGHT(C$1,2),DATA!$D$1:$HT$52,MATCH($A40,DATA!$B:$B,0),FALSE)/HLOOKUP(LEFT(C$1,4)*1-1&amp;"-"&amp;RIGHT(C$1,2),DATA!$D$1:$HT$52,MATCH($A40,DATA!$B:$B,0),FALSE)-1,3),0)</f>
        <v>7.8E-2</v>
      </c>
      <c r="D40">
        <f>IFERROR(ROUND(HLOOKUP(LEFT(D$1,4)&amp;"-"&amp;RIGHT(D$1,2),DATA!$D$1:$HT$52,MATCH($A40,DATA!$B:$B,0),FALSE)/HLOOKUP(LEFT(D$1,4)*1-1&amp;"-"&amp;RIGHT(D$1,2),DATA!$D$1:$HT$52,MATCH($A40,DATA!$B:$B,0),FALSE)-1,3),0)</f>
        <v>0.108</v>
      </c>
      <c r="E40">
        <f>IFERROR(ROUND(HLOOKUP(LEFT(E$1,4)&amp;"-"&amp;RIGHT(E$1,2),DATA!$D$1:$HT$52,MATCH($A40,DATA!$B:$B,0),FALSE)/HLOOKUP(LEFT(E$1,4)*1-1&amp;"-"&amp;RIGHT(E$1,2),DATA!$D$1:$HT$52,MATCH($A40,DATA!$B:$B,0),FALSE)-1,3),0)</f>
        <v>0.107</v>
      </c>
      <c r="F40">
        <f>IFERROR(ROUND(HLOOKUP(LEFT(F$1,4)&amp;"-"&amp;RIGHT(F$1,2),DATA!$D$1:$HT$52,MATCH($A40,DATA!$B:$B,0),FALSE)/HLOOKUP(LEFT(F$1,4)*1-1&amp;"-"&amp;RIGHT(F$1,2),DATA!$D$1:$HT$52,MATCH($A40,DATA!$B:$B,0),FALSE)-1,3),0)</f>
        <v>9.4E-2</v>
      </c>
      <c r="G40">
        <f>IFERROR(ROUND(HLOOKUP(LEFT(G$1,4)&amp;"-"&amp;RIGHT(G$1,2),DATA!$D$1:$HT$52,MATCH($A40,DATA!$B:$B,0),FALSE)/HLOOKUP(LEFT(G$1,4)*1-1&amp;"-"&amp;RIGHT(G$1,2),DATA!$D$1:$HT$52,MATCH($A40,DATA!$B:$B,0),FALSE)-1,3),0)</f>
        <v>5.7000000000000002E-2</v>
      </c>
      <c r="H40">
        <f>IFERROR(ROUND(HLOOKUP(LEFT(H$1,4)&amp;"-"&amp;RIGHT(H$1,2),DATA!$D$1:$HT$52,MATCH($A40,DATA!$B:$B,0),FALSE)/HLOOKUP(LEFT(H$1,4)*1-1&amp;"-"&amp;RIGHT(H$1,2),DATA!$D$1:$HT$52,MATCH($A40,DATA!$B:$B,0),FALSE)-1,3),0)</f>
        <v>1.2E-2</v>
      </c>
      <c r="I40">
        <f>IFERROR(ROUND(HLOOKUP(LEFT(I$1,4)&amp;"-"&amp;RIGHT(I$1,2),DATA!$D$1:$HT$52,MATCH($A40,DATA!$B:$B,0),FALSE)/HLOOKUP(LEFT(I$1,4)*1-1&amp;"-"&amp;RIGHT(I$1,2),DATA!$D$1:$HT$52,MATCH($A40,DATA!$B:$B,0),FALSE)-1,3),0)</f>
        <v>-2.8000000000000001E-2</v>
      </c>
      <c r="J40">
        <f>IFERROR(ROUND(HLOOKUP(LEFT(J$1,4)&amp;"-"&amp;RIGHT(J$1,2),DATA!$D$1:$HT$52,MATCH($A40,DATA!$B:$B,0),FALSE)/HLOOKUP(LEFT(J$1,4)*1-1&amp;"-"&amp;RIGHT(J$1,2),DATA!$D$1:$HT$52,MATCH($A40,DATA!$B:$B,0),FALSE)-1,3),0)</f>
        <v>-1.7000000000000001E-2</v>
      </c>
      <c r="K40">
        <f>IFERROR(ROUND(HLOOKUP(LEFT(K$1,4)&amp;"-"&amp;RIGHT(K$1,2),DATA!$D$1:$HT$52,MATCH($A40,DATA!$B:$B,0),FALSE)/HLOOKUP(LEFT(K$1,4)*1-1&amp;"-"&amp;RIGHT(K$1,2),DATA!$D$1:$HT$52,MATCH($A40,DATA!$B:$B,0),FALSE)-1,3),0)</f>
        <v>-2.5000000000000001E-2</v>
      </c>
      <c r="L40">
        <f>IFERROR(ROUND(HLOOKUP(LEFT(L$1,4)&amp;"-"&amp;RIGHT(L$1,2),DATA!$D$1:$HT$52,MATCH($A40,DATA!$B:$B,0),FALSE)/HLOOKUP(LEFT(L$1,4)*1-1&amp;"-"&amp;RIGHT(L$1,2),DATA!$D$1:$HT$52,MATCH($A40,DATA!$B:$B,0),FALSE)-1,3),0)</f>
        <v>-4.2000000000000003E-2</v>
      </c>
      <c r="M40">
        <f>IFERROR(ROUND(HLOOKUP(LEFT(M$1,4)&amp;"-"&amp;RIGHT(M$1,2),DATA!$D$1:$HT$52,MATCH($A40,DATA!$B:$B,0),FALSE)/HLOOKUP(LEFT(M$1,4)*1-1&amp;"-"&amp;RIGHT(M$1,2),DATA!$D$1:$HT$52,MATCH($A40,DATA!$B:$B,0),FALSE)-1,3),0)</f>
        <v>-3.0000000000000001E-3</v>
      </c>
      <c r="N40">
        <f>IFERROR(ROUND(HLOOKUP(LEFT(N$1,4)&amp;"-"&amp;RIGHT(N$1,2),DATA!$D$1:$HT$52,MATCH($A40,DATA!$B:$B,0),FALSE)/HLOOKUP(LEFT(N$1,4)*1-1&amp;"-"&amp;RIGHT(N$1,2),DATA!$D$1:$HT$52,MATCH($A40,DATA!$B:$B,0),FALSE)-1,3),0)</f>
        <v>1.6E-2</v>
      </c>
      <c r="O40">
        <f>IFERROR(ROUND(HLOOKUP(LEFT(O$1,4)&amp;"-"&amp;RIGHT(O$1,2),DATA!$D$1:$HT$52,MATCH($A40,DATA!$B:$B,0),FALSE)/HLOOKUP(LEFT(O$1,4)*1-1&amp;"-"&amp;RIGHT(O$1,2),DATA!$D$1:$HT$52,MATCH($A40,DATA!$B:$B,0),FALSE)-1,3),0)</f>
        <v>1.9E-2</v>
      </c>
      <c r="P40">
        <f>IFERROR(ROUND(HLOOKUP(LEFT(P$1,4)&amp;"-"&amp;RIGHT(P$1,2),DATA!$D$1:$HT$52,MATCH($A40,DATA!$B:$B,0),FALSE)/HLOOKUP(LEFT(P$1,4)*1-1&amp;"-"&amp;RIGHT(P$1,2),DATA!$D$1:$HT$52,MATCH($A40,DATA!$B:$B,0),FALSE)-1,3),0)</f>
        <v>2.5999999999999999E-2</v>
      </c>
      <c r="Q40">
        <f>IFERROR(ROUND(HLOOKUP(LEFT(Q$1,4)&amp;"-"&amp;RIGHT(Q$1,2),DATA!$D$1:$HT$52,MATCH($A40,DATA!$B:$B,0),FALSE)/HLOOKUP(LEFT(Q$1,4)*1-1&amp;"-"&amp;RIGHT(Q$1,2),DATA!$D$1:$HT$52,MATCH($A40,DATA!$B:$B,0),FALSE)-1,3),0)</f>
        <v>4.2000000000000003E-2</v>
      </c>
      <c r="R40">
        <f>IFERROR(ROUND(HLOOKUP(LEFT(R$1,4)&amp;"-"&amp;RIGHT(R$1,2),DATA!$D$1:$HT$52,MATCH($A40,DATA!$B:$B,0),FALSE)/HLOOKUP(LEFT(R$1,4)*1-1&amp;"-"&amp;RIGHT(R$1,2),DATA!$D$1:$HT$52,MATCH($A40,DATA!$B:$B,0),FALSE)-1,3),0)</f>
        <v>5.7000000000000002E-2</v>
      </c>
    </row>
    <row r="41" spans="1:18" x14ac:dyDescent="0.3">
      <c r="A41" t="s">
        <v>270</v>
      </c>
      <c r="B41">
        <f>IFERROR(ROUND(HLOOKUP(LEFT(B$1,4)&amp;"-"&amp;RIGHT(B$1,2),DATA!$D$1:$HT$52,MATCH($A41,DATA!$B:$B,0),FALSE)/HLOOKUP(LEFT(B$1,4)*1-1&amp;"-"&amp;RIGHT(B$1,2),DATA!$D$1:$HT$52,MATCH($A41,DATA!$B:$B,0),FALSE)-1,3),0)</f>
        <v>0.16500000000000001</v>
      </c>
      <c r="C41">
        <f>IFERROR(ROUND(HLOOKUP(LEFT(C$1,4)&amp;"-"&amp;RIGHT(C$1,2),DATA!$D$1:$HT$52,MATCH($A41,DATA!$B:$B,0),FALSE)/HLOOKUP(LEFT(C$1,4)*1-1&amp;"-"&amp;RIGHT(C$1,2),DATA!$D$1:$HT$52,MATCH($A41,DATA!$B:$B,0),FALSE)-1,3),0)</f>
        <v>0.20699999999999999</v>
      </c>
      <c r="D41">
        <f>IFERROR(ROUND(HLOOKUP(LEFT(D$1,4)&amp;"-"&amp;RIGHT(D$1,2),DATA!$D$1:$HT$52,MATCH($A41,DATA!$B:$B,0),FALSE)/HLOOKUP(LEFT(D$1,4)*1-1&amp;"-"&amp;RIGHT(D$1,2),DATA!$D$1:$HT$52,MATCH($A41,DATA!$B:$B,0),FALSE)-1,3),0)</f>
        <v>0.20599999999999999</v>
      </c>
      <c r="E41">
        <f>IFERROR(ROUND(HLOOKUP(LEFT(E$1,4)&amp;"-"&amp;RIGHT(E$1,2),DATA!$D$1:$HT$52,MATCH($A41,DATA!$B:$B,0),FALSE)/HLOOKUP(LEFT(E$1,4)*1-1&amp;"-"&amp;RIGHT(E$1,2),DATA!$D$1:$HT$52,MATCH($A41,DATA!$B:$B,0),FALSE)-1,3),0)</f>
        <v>0.14799999999999999</v>
      </c>
      <c r="F41">
        <f>IFERROR(ROUND(HLOOKUP(LEFT(F$1,4)&amp;"-"&amp;RIGHT(F$1,2),DATA!$D$1:$HT$52,MATCH($A41,DATA!$B:$B,0),FALSE)/HLOOKUP(LEFT(F$1,4)*1-1&amp;"-"&amp;RIGHT(F$1,2),DATA!$D$1:$HT$52,MATCH($A41,DATA!$B:$B,0),FALSE)-1,3),0)</f>
        <v>5.1999999999999998E-2</v>
      </c>
      <c r="G41">
        <f>IFERROR(ROUND(HLOOKUP(LEFT(G$1,4)&amp;"-"&amp;RIGHT(G$1,2),DATA!$D$1:$HT$52,MATCH($A41,DATA!$B:$B,0),FALSE)/HLOOKUP(LEFT(G$1,4)*1-1&amp;"-"&amp;RIGHT(G$1,2),DATA!$D$1:$HT$52,MATCH($A41,DATA!$B:$B,0),FALSE)-1,3),0)</f>
        <v>-2.7E-2</v>
      </c>
      <c r="H41">
        <f>IFERROR(ROUND(HLOOKUP(LEFT(H$1,4)&amp;"-"&amp;RIGHT(H$1,2),DATA!$D$1:$HT$52,MATCH($A41,DATA!$B:$B,0),FALSE)/HLOOKUP(LEFT(H$1,4)*1-1&amp;"-"&amp;RIGHT(H$1,2),DATA!$D$1:$HT$52,MATCH($A41,DATA!$B:$B,0),FALSE)-1,3),0)</f>
        <v>-5.8999999999999997E-2</v>
      </c>
      <c r="I41">
        <f>IFERROR(ROUND(HLOOKUP(LEFT(I$1,4)&amp;"-"&amp;RIGHT(I$1,2),DATA!$D$1:$HT$52,MATCH($A41,DATA!$B:$B,0),FALSE)/HLOOKUP(LEFT(I$1,4)*1-1&amp;"-"&amp;RIGHT(I$1,2),DATA!$D$1:$HT$52,MATCH($A41,DATA!$B:$B,0),FALSE)-1,3),0)</f>
        <v>-0.114</v>
      </c>
      <c r="J41">
        <f>IFERROR(ROUND(HLOOKUP(LEFT(J$1,4)&amp;"-"&amp;RIGHT(J$1,2),DATA!$D$1:$HT$52,MATCH($A41,DATA!$B:$B,0),FALSE)/HLOOKUP(LEFT(J$1,4)*1-1&amp;"-"&amp;RIGHT(J$1,2),DATA!$D$1:$HT$52,MATCH($A41,DATA!$B:$B,0),FALSE)-1,3),0)</f>
        <v>-6.3E-2</v>
      </c>
      <c r="K41">
        <f>IFERROR(ROUND(HLOOKUP(LEFT(K$1,4)&amp;"-"&amp;RIGHT(K$1,2),DATA!$D$1:$HT$52,MATCH($A41,DATA!$B:$B,0),FALSE)/HLOOKUP(LEFT(K$1,4)*1-1&amp;"-"&amp;RIGHT(K$1,2),DATA!$D$1:$HT$52,MATCH($A41,DATA!$B:$B,0),FALSE)-1,3),0)</f>
        <v>-1.6E-2</v>
      </c>
      <c r="L41">
        <f>IFERROR(ROUND(HLOOKUP(LEFT(L$1,4)&amp;"-"&amp;RIGHT(L$1,2),DATA!$D$1:$HT$52,MATCH($A41,DATA!$B:$B,0),FALSE)/HLOOKUP(LEFT(L$1,4)*1-1&amp;"-"&amp;RIGHT(L$1,2),DATA!$D$1:$HT$52,MATCH($A41,DATA!$B:$B,0),FALSE)-1,3),0)</f>
        <v>-8.4000000000000005E-2</v>
      </c>
      <c r="M41">
        <f>IFERROR(ROUND(HLOOKUP(LEFT(M$1,4)&amp;"-"&amp;RIGHT(M$1,2),DATA!$D$1:$HT$52,MATCH($A41,DATA!$B:$B,0),FALSE)/HLOOKUP(LEFT(M$1,4)*1-1&amp;"-"&amp;RIGHT(M$1,2),DATA!$D$1:$HT$52,MATCH($A41,DATA!$B:$B,0),FALSE)-1,3),0)</f>
        <v>1.9E-2</v>
      </c>
      <c r="N41">
        <f>IFERROR(ROUND(HLOOKUP(LEFT(N$1,4)&amp;"-"&amp;RIGHT(N$1,2),DATA!$D$1:$HT$52,MATCH($A41,DATA!$B:$B,0),FALSE)/HLOOKUP(LEFT(N$1,4)*1-1&amp;"-"&amp;RIGHT(N$1,2),DATA!$D$1:$HT$52,MATCH($A41,DATA!$B:$B,0),FALSE)-1,3),0)</f>
        <v>2.7E-2</v>
      </c>
      <c r="O41">
        <f>IFERROR(ROUND(HLOOKUP(LEFT(O$1,4)&amp;"-"&amp;RIGHT(O$1,2),DATA!$D$1:$HT$52,MATCH($A41,DATA!$B:$B,0),FALSE)/HLOOKUP(LEFT(O$1,4)*1-1&amp;"-"&amp;RIGHT(O$1,2),DATA!$D$1:$HT$52,MATCH($A41,DATA!$B:$B,0),FALSE)-1,3),0)</f>
        <v>3.5999999999999997E-2</v>
      </c>
      <c r="P41">
        <f>IFERROR(ROUND(HLOOKUP(LEFT(P$1,4)&amp;"-"&amp;RIGHT(P$1,2),DATA!$D$1:$HT$52,MATCH($A41,DATA!$B:$B,0),FALSE)/HLOOKUP(LEFT(P$1,4)*1-1&amp;"-"&amp;RIGHT(P$1,2),DATA!$D$1:$HT$52,MATCH($A41,DATA!$B:$B,0),FALSE)-1,3),0)</f>
        <v>3.5000000000000003E-2</v>
      </c>
      <c r="Q41">
        <f>IFERROR(ROUND(HLOOKUP(LEFT(Q$1,4)&amp;"-"&amp;RIGHT(Q$1,2),DATA!$D$1:$HT$52,MATCH($A41,DATA!$B:$B,0),FALSE)/HLOOKUP(LEFT(Q$1,4)*1-1&amp;"-"&amp;RIGHT(Q$1,2),DATA!$D$1:$HT$52,MATCH($A41,DATA!$B:$B,0),FALSE)-1,3),0)</f>
        <v>7.0000000000000007E-2</v>
      </c>
      <c r="R41">
        <f>IFERROR(ROUND(HLOOKUP(LEFT(R$1,4)&amp;"-"&amp;RIGHT(R$1,2),DATA!$D$1:$HT$52,MATCH($A41,DATA!$B:$B,0),FALSE)/HLOOKUP(LEFT(R$1,4)*1-1&amp;"-"&amp;RIGHT(R$1,2),DATA!$D$1:$HT$52,MATCH($A41,DATA!$B:$B,0),FALSE)-1,3),0)</f>
        <v>0.09</v>
      </c>
    </row>
    <row r="42" spans="1:18" x14ac:dyDescent="0.3">
      <c r="A42" t="s">
        <v>251</v>
      </c>
      <c r="B42">
        <f>IFERROR(ROUND(HLOOKUP(LEFT(B$1,4)&amp;"-"&amp;RIGHT(B$1,2),DATA!$D$1:$HT$52,MATCH($A42,DATA!$B:$B,0),FALSE)/HLOOKUP(LEFT(B$1,4)*1-1&amp;"-"&amp;RIGHT(B$1,2),DATA!$D$1:$HT$52,MATCH($A42,DATA!$B:$B,0),FALSE)-1,3),0)</f>
        <v>2.7E-2</v>
      </c>
      <c r="C42">
        <f>IFERROR(ROUND(HLOOKUP(LEFT(C$1,4)&amp;"-"&amp;RIGHT(C$1,2),DATA!$D$1:$HT$52,MATCH($A42,DATA!$B:$B,0),FALSE)/HLOOKUP(LEFT(C$1,4)*1-1&amp;"-"&amp;RIGHT(C$1,2),DATA!$D$1:$HT$52,MATCH($A42,DATA!$B:$B,0),FALSE)-1,3),0)</f>
        <v>3.5000000000000003E-2</v>
      </c>
      <c r="D42">
        <f>IFERROR(ROUND(HLOOKUP(LEFT(D$1,4)&amp;"-"&amp;RIGHT(D$1,2),DATA!$D$1:$HT$52,MATCH($A42,DATA!$B:$B,0),FALSE)/HLOOKUP(LEFT(D$1,4)*1-1&amp;"-"&amp;RIGHT(D$1,2),DATA!$D$1:$HT$52,MATCH($A42,DATA!$B:$B,0),FALSE)-1,3),0)</f>
        <v>0.05</v>
      </c>
      <c r="E42">
        <f>IFERROR(ROUND(HLOOKUP(LEFT(E$1,4)&amp;"-"&amp;RIGHT(E$1,2),DATA!$D$1:$HT$52,MATCH($A42,DATA!$B:$B,0),FALSE)/HLOOKUP(LEFT(E$1,4)*1-1&amp;"-"&amp;RIGHT(E$1,2),DATA!$D$1:$HT$52,MATCH($A42,DATA!$B:$B,0),FALSE)-1,3),0)</f>
        <v>7.1999999999999995E-2</v>
      </c>
      <c r="F42">
        <f>IFERROR(ROUND(HLOOKUP(LEFT(F$1,4)&amp;"-"&amp;RIGHT(F$1,2),DATA!$D$1:$HT$52,MATCH($A42,DATA!$B:$B,0),FALSE)/HLOOKUP(LEFT(F$1,4)*1-1&amp;"-"&amp;RIGHT(F$1,2),DATA!$D$1:$HT$52,MATCH($A42,DATA!$B:$B,0),FALSE)-1,3),0)</f>
        <v>8.6999999999999994E-2</v>
      </c>
      <c r="G42">
        <f>IFERROR(ROUND(HLOOKUP(LEFT(G$1,4)&amp;"-"&amp;RIGHT(G$1,2),DATA!$D$1:$HT$52,MATCH($A42,DATA!$B:$B,0),FALSE)/HLOOKUP(LEFT(G$1,4)*1-1&amp;"-"&amp;RIGHT(G$1,2),DATA!$D$1:$HT$52,MATCH($A42,DATA!$B:$B,0),FALSE)-1,3),0)</f>
        <v>7.5999999999999998E-2</v>
      </c>
      <c r="H42">
        <f>IFERROR(ROUND(HLOOKUP(LEFT(H$1,4)&amp;"-"&amp;RIGHT(H$1,2),DATA!$D$1:$HT$52,MATCH($A42,DATA!$B:$B,0),FALSE)/HLOOKUP(LEFT(H$1,4)*1-1&amp;"-"&amp;RIGHT(H$1,2),DATA!$D$1:$HT$52,MATCH($A42,DATA!$B:$B,0),FALSE)-1,3),0)</f>
        <v>-4.0000000000000001E-3</v>
      </c>
      <c r="I42">
        <f>IFERROR(ROUND(HLOOKUP(LEFT(I$1,4)&amp;"-"&amp;RIGHT(I$1,2),DATA!$D$1:$HT$52,MATCH($A42,DATA!$B:$B,0),FALSE)/HLOOKUP(LEFT(I$1,4)*1-1&amp;"-"&amp;RIGHT(I$1,2),DATA!$D$1:$HT$52,MATCH($A42,DATA!$B:$B,0),FALSE)-1,3),0)</f>
        <v>-4.2999999999999997E-2</v>
      </c>
      <c r="J42">
        <f>IFERROR(ROUND(HLOOKUP(LEFT(J$1,4)&amp;"-"&amp;RIGHT(J$1,2),DATA!$D$1:$HT$52,MATCH($A42,DATA!$B:$B,0),FALSE)/HLOOKUP(LEFT(J$1,4)*1-1&amp;"-"&amp;RIGHT(J$1,2),DATA!$D$1:$HT$52,MATCH($A42,DATA!$B:$B,0),FALSE)-1,3),0)</f>
        <v>-3.9E-2</v>
      </c>
      <c r="K42">
        <f>IFERROR(ROUND(HLOOKUP(LEFT(K$1,4)&amp;"-"&amp;RIGHT(K$1,2),DATA!$D$1:$HT$52,MATCH($A42,DATA!$B:$B,0),FALSE)/HLOOKUP(LEFT(K$1,4)*1-1&amp;"-"&amp;RIGHT(K$1,2),DATA!$D$1:$HT$52,MATCH($A42,DATA!$B:$B,0),FALSE)-1,3),0)</f>
        <v>-3.9E-2</v>
      </c>
      <c r="L42">
        <f>IFERROR(ROUND(HLOOKUP(LEFT(L$1,4)&amp;"-"&amp;RIGHT(L$1,2),DATA!$D$1:$HT$52,MATCH($A42,DATA!$B:$B,0),FALSE)/HLOOKUP(LEFT(L$1,4)*1-1&amp;"-"&amp;RIGHT(L$1,2),DATA!$D$1:$HT$52,MATCH($A42,DATA!$B:$B,0),FALSE)-1,3),0)</f>
        <v>-4.2999999999999997E-2</v>
      </c>
      <c r="M42">
        <f>IFERROR(ROUND(HLOOKUP(LEFT(M$1,4)&amp;"-"&amp;RIGHT(M$1,2),DATA!$D$1:$HT$52,MATCH($A42,DATA!$B:$B,0),FALSE)/HLOOKUP(LEFT(M$1,4)*1-1&amp;"-"&amp;RIGHT(M$1,2),DATA!$D$1:$HT$52,MATCH($A42,DATA!$B:$B,0),FALSE)-1,3),0)</f>
        <v>3.0000000000000001E-3</v>
      </c>
      <c r="N42">
        <f>IFERROR(ROUND(HLOOKUP(LEFT(N$1,4)&amp;"-"&amp;RIGHT(N$1,2),DATA!$D$1:$HT$52,MATCH($A42,DATA!$B:$B,0),FALSE)/HLOOKUP(LEFT(N$1,4)*1-1&amp;"-"&amp;RIGHT(N$1,2),DATA!$D$1:$HT$52,MATCH($A42,DATA!$B:$B,0),FALSE)-1,3),0)</f>
        <v>0.03</v>
      </c>
      <c r="O42">
        <f>IFERROR(ROUND(HLOOKUP(LEFT(O$1,4)&amp;"-"&amp;RIGHT(O$1,2),DATA!$D$1:$HT$52,MATCH($A42,DATA!$B:$B,0),FALSE)/HLOOKUP(LEFT(O$1,4)*1-1&amp;"-"&amp;RIGHT(O$1,2),DATA!$D$1:$HT$52,MATCH($A42,DATA!$B:$B,0),FALSE)-1,3),0)</f>
        <v>1.4E-2</v>
      </c>
      <c r="P42">
        <f>IFERROR(ROUND(HLOOKUP(LEFT(P$1,4)&amp;"-"&amp;RIGHT(P$1,2),DATA!$D$1:$HT$52,MATCH($A42,DATA!$B:$B,0),FALSE)/HLOOKUP(LEFT(P$1,4)*1-1&amp;"-"&amp;RIGHT(P$1,2),DATA!$D$1:$HT$52,MATCH($A42,DATA!$B:$B,0),FALSE)-1,3),0)</f>
        <v>4.3999999999999997E-2</v>
      </c>
      <c r="Q42">
        <f>IFERROR(ROUND(HLOOKUP(LEFT(Q$1,4)&amp;"-"&amp;RIGHT(Q$1,2),DATA!$D$1:$HT$52,MATCH($A42,DATA!$B:$B,0),FALSE)/HLOOKUP(LEFT(Q$1,4)*1-1&amp;"-"&amp;RIGHT(Q$1,2),DATA!$D$1:$HT$52,MATCH($A42,DATA!$B:$B,0),FALSE)-1,3),0)</f>
        <v>9.0999999999999998E-2</v>
      </c>
      <c r="R42">
        <f>IFERROR(ROUND(HLOOKUP(LEFT(R$1,4)&amp;"-"&amp;RIGHT(R$1,2),DATA!$D$1:$HT$52,MATCH($A42,DATA!$B:$B,0),FALSE)/HLOOKUP(LEFT(R$1,4)*1-1&amp;"-"&amp;RIGHT(R$1,2),DATA!$D$1:$HT$52,MATCH($A42,DATA!$B:$B,0),FALSE)-1,3),0)</f>
        <v>0.06</v>
      </c>
    </row>
    <row r="43" spans="1:18" x14ac:dyDescent="0.3">
      <c r="A43" t="s">
        <v>273</v>
      </c>
      <c r="B43">
        <f>IFERROR(ROUND(HLOOKUP(LEFT(B$1,4)&amp;"-"&amp;RIGHT(B$1,2),DATA!$D$1:$HT$52,MATCH($A43,DATA!$B:$B,0),FALSE)/HLOOKUP(LEFT(B$1,4)*1-1&amp;"-"&amp;RIGHT(B$1,2),DATA!$D$1:$HT$52,MATCH($A43,DATA!$B:$B,0),FALSE)-1,3),0)</f>
        <v>0.13800000000000001</v>
      </c>
      <c r="C43">
        <f>IFERROR(ROUND(HLOOKUP(LEFT(C$1,4)&amp;"-"&amp;RIGHT(C$1,2),DATA!$D$1:$HT$52,MATCH($A43,DATA!$B:$B,0),FALSE)/HLOOKUP(LEFT(C$1,4)*1-1&amp;"-"&amp;RIGHT(C$1,2),DATA!$D$1:$HT$52,MATCH($A43,DATA!$B:$B,0),FALSE)-1,3),0)</f>
        <v>0.06</v>
      </c>
      <c r="D43">
        <f>IFERROR(ROUND(HLOOKUP(LEFT(D$1,4)&amp;"-"&amp;RIGHT(D$1,2),DATA!$D$1:$HT$52,MATCH($A43,DATA!$B:$B,0),FALSE)/HLOOKUP(LEFT(D$1,4)*1-1&amp;"-"&amp;RIGHT(D$1,2),DATA!$D$1:$HT$52,MATCH($A43,DATA!$B:$B,0),FALSE)-1,3),0)</f>
        <v>1.4E-2</v>
      </c>
      <c r="E43">
        <f>IFERROR(ROUND(HLOOKUP(LEFT(E$1,4)&amp;"-"&amp;RIGHT(E$1,2),DATA!$D$1:$HT$52,MATCH($A43,DATA!$B:$B,0),FALSE)/HLOOKUP(LEFT(E$1,4)*1-1&amp;"-"&amp;RIGHT(E$1,2),DATA!$D$1:$HT$52,MATCH($A43,DATA!$B:$B,0),FALSE)-1,3),0)</f>
        <v>0.16</v>
      </c>
      <c r="F43">
        <f>IFERROR(ROUND(HLOOKUP(LEFT(F$1,4)&amp;"-"&amp;RIGHT(F$1,2),DATA!$D$1:$HT$52,MATCH($A43,DATA!$B:$B,0),FALSE)/HLOOKUP(LEFT(F$1,4)*1-1&amp;"-"&amp;RIGHT(F$1,2),DATA!$D$1:$HT$52,MATCH($A43,DATA!$B:$B,0),FALSE)-1,3),0)</f>
        <v>8.5999999999999993E-2</v>
      </c>
      <c r="G43">
        <f>IFERROR(ROUND(HLOOKUP(LEFT(G$1,4)&amp;"-"&amp;RIGHT(G$1,2),DATA!$D$1:$HT$52,MATCH($A43,DATA!$B:$B,0),FALSE)/HLOOKUP(LEFT(G$1,4)*1-1&amp;"-"&amp;RIGHT(G$1,2),DATA!$D$1:$HT$52,MATCH($A43,DATA!$B:$B,0),FALSE)-1,3),0)</f>
        <v>5.7000000000000002E-2</v>
      </c>
      <c r="H43">
        <f>IFERROR(ROUND(HLOOKUP(LEFT(H$1,4)&amp;"-"&amp;RIGHT(H$1,2),DATA!$D$1:$HT$52,MATCH($A43,DATA!$B:$B,0),FALSE)/HLOOKUP(LEFT(H$1,4)*1-1&amp;"-"&amp;RIGHT(H$1,2),DATA!$D$1:$HT$52,MATCH($A43,DATA!$B:$B,0),FALSE)-1,3),0)</f>
        <v>4.0000000000000001E-3</v>
      </c>
      <c r="I43">
        <f>IFERROR(ROUND(HLOOKUP(LEFT(I$1,4)&amp;"-"&amp;RIGHT(I$1,2),DATA!$D$1:$HT$52,MATCH($A43,DATA!$B:$B,0),FALSE)/HLOOKUP(LEFT(I$1,4)*1-1&amp;"-"&amp;RIGHT(I$1,2),DATA!$D$1:$HT$52,MATCH($A43,DATA!$B:$B,0),FALSE)-1,3),0)</f>
        <v>0.01</v>
      </c>
      <c r="J43">
        <f>IFERROR(ROUND(HLOOKUP(LEFT(J$1,4)&amp;"-"&amp;RIGHT(J$1,2),DATA!$D$1:$HT$52,MATCH($A43,DATA!$B:$B,0),FALSE)/HLOOKUP(LEFT(J$1,4)*1-1&amp;"-"&amp;RIGHT(J$1,2),DATA!$D$1:$HT$52,MATCH($A43,DATA!$B:$B,0),FALSE)-1,3),0)</f>
        <v>-3.0000000000000001E-3</v>
      </c>
      <c r="K43">
        <f>IFERROR(ROUND(HLOOKUP(LEFT(K$1,4)&amp;"-"&amp;RIGHT(K$1,2),DATA!$D$1:$HT$52,MATCH($A43,DATA!$B:$B,0),FALSE)/HLOOKUP(LEFT(K$1,4)*1-1&amp;"-"&amp;RIGHT(K$1,2),DATA!$D$1:$HT$52,MATCH($A43,DATA!$B:$B,0),FALSE)-1,3),0)</f>
        <v>1E-3</v>
      </c>
      <c r="L43">
        <f>IFERROR(ROUND(HLOOKUP(LEFT(L$1,4)&amp;"-"&amp;RIGHT(L$1,2),DATA!$D$1:$HT$52,MATCH($A43,DATA!$B:$B,0),FALSE)/HLOOKUP(LEFT(L$1,4)*1-1&amp;"-"&amp;RIGHT(L$1,2),DATA!$D$1:$HT$52,MATCH($A43,DATA!$B:$B,0),FALSE)-1,3),0)</f>
        <v>-1.7000000000000001E-2</v>
      </c>
      <c r="M43">
        <f>IFERROR(ROUND(HLOOKUP(LEFT(M$1,4)&amp;"-"&amp;RIGHT(M$1,2),DATA!$D$1:$HT$52,MATCH($A43,DATA!$B:$B,0),FALSE)/HLOOKUP(LEFT(M$1,4)*1-1&amp;"-"&amp;RIGHT(M$1,2),DATA!$D$1:$HT$52,MATCH($A43,DATA!$B:$B,0),FALSE)-1,3),0)</f>
        <v>0.03</v>
      </c>
      <c r="N43">
        <f>IFERROR(ROUND(HLOOKUP(LEFT(N$1,4)&amp;"-"&amp;RIGHT(N$1,2),DATA!$D$1:$HT$52,MATCH($A43,DATA!$B:$B,0),FALSE)/HLOOKUP(LEFT(N$1,4)*1-1&amp;"-"&amp;RIGHT(N$1,2),DATA!$D$1:$HT$52,MATCH($A43,DATA!$B:$B,0),FALSE)-1,3),0)</f>
        <v>3.2000000000000001E-2</v>
      </c>
      <c r="O43">
        <f>IFERROR(ROUND(HLOOKUP(LEFT(O$1,4)&amp;"-"&amp;RIGHT(O$1,2),DATA!$D$1:$HT$52,MATCH($A43,DATA!$B:$B,0),FALSE)/HLOOKUP(LEFT(O$1,4)*1-1&amp;"-"&amp;RIGHT(O$1,2),DATA!$D$1:$HT$52,MATCH($A43,DATA!$B:$B,0),FALSE)-1,3),0)</f>
        <v>3.5000000000000003E-2</v>
      </c>
      <c r="P43">
        <f>IFERROR(ROUND(HLOOKUP(LEFT(P$1,4)&amp;"-"&amp;RIGHT(P$1,2),DATA!$D$1:$HT$52,MATCH($A43,DATA!$B:$B,0),FALSE)/HLOOKUP(LEFT(P$1,4)*1-1&amp;"-"&amp;RIGHT(P$1,2),DATA!$D$1:$HT$52,MATCH($A43,DATA!$B:$B,0),FALSE)-1,3),0)</f>
        <v>6.0999999999999999E-2</v>
      </c>
      <c r="Q43">
        <f>IFERROR(ROUND(HLOOKUP(LEFT(Q$1,4)&amp;"-"&amp;RIGHT(Q$1,2),DATA!$D$1:$HT$52,MATCH($A43,DATA!$B:$B,0),FALSE)/HLOOKUP(LEFT(Q$1,4)*1-1&amp;"-"&amp;RIGHT(Q$1,2),DATA!$D$1:$HT$52,MATCH($A43,DATA!$B:$B,0),FALSE)-1,3),0)</f>
        <v>4.7E-2</v>
      </c>
      <c r="R43">
        <f>IFERROR(ROUND(HLOOKUP(LEFT(R$1,4)&amp;"-"&amp;RIGHT(R$1,2),DATA!$D$1:$HT$52,MATCH($A43,DATA!$B:$B,0),FALSE)/HLOOKUP(LEFT(R$1,4)*1-1&amp;"-"&amp;RIGHT(R$1,2),DATA!$D$1:$HT$52,MATCH($A43,DATA!$B:$B,0),FALSE)-1,3),0)</f>
        <v>4.7E-2</v>
      </c>
    </row>
    <row r="44" spans="1:18" x14ac:dyDescent="0.3">
      <c r="A44" t="s">
        <v>244</v>
      </c>
      <c r="B44">
        <f>IFERROR(ROUND(HLOOKUP(LEFT(B$1,4)&amp;"-"&amp;RIGHT(B$1,2),DATA!$D$1:$HT$52,MATCH($A44,DATA!$B:$B,0),FALSE)/HLOOKUP(LEFT(B$1,4)*1-1&amp;"-"&amp;RIGHT(B$1,2),DATA!$D$1:$HT$52,MATCH($A44,DATA!$B:$B,0),FALSE)-1,3),0)</f>
        <v>3.5000000000000003E-2</v>
      </c>
      <c r="C44">
        <f>IFERROR(ROUND(HLOOKUP(LEFT(C$1,4)&amp;"-"&amp;RIGHT(C$1,2),DATA!$D$1:$HT$52,MATCH($A44,DATA!$B:$B,0),FALSE)/HLOOKUP(LEFT(C$1,4)*1-1&amp;"-"&amp;RIGHT(C$1,2),DATA!$D$1:$HT$52,MATCH($A44,DATA!$B:$B,0),FALSE)-1,3),0)</f>
        <v>3.2000000000000001E-2</v>
      </c>
      <c r="D44">
        <f>IFERROR(ROUND(HLOOKUP(LEFT(D$1,4)&amp;"-"&amp;RIGHT(D$1,2),DATA!$D$1:$HT$52,MATCH($A44,DATA!$B:$B,0),FALSE)/HLOOKUP(LEFT(D$1,4)*1-1&amp;"-"&amp;RIGHT(D$1,2),DATA!$D$1:$HT$52,MATCH($A44,DATA!$B:$B,0),FALSE)-1,3),0)</f>
        <v>4.2000000000000003E-2</v>
      </c>
      <c r="E44">
        <f>IFERROR(ROUND(HLOOKUP(LEFT(E$1,4)&amp;"-"&amp;RIGHT(E$1,2),DATA!$D$1:$HT$52,MATCH($A44,DATA!$B:$B,0),FALSE)/HLOOKUP(LEFT(E$1,4)*1-1&amp;"-"&amp;RIGHT(E$1,2),DATA!$D$1:$HT$52,MATCH($A44,DATA!$B:$B,0),FALSE)-1,3),0)</f>
        <v>7.2999999999999995E-2</v>
      </c>
      <c r="F44">
        <f>IFERROR(ROUND(HLOOKUP(LEFT(F$1,4)&amp;"-"&amp;RIGHT(F$1,2),DATA!$D$1:$HT$52,MATCH($A44,DATA!$B:$B,0),FALSE)/HLOOKUP(LEFT(F$1,4)*1-1&amp;"-"&amp;RIGHT(F$1,2),DATA!$D$1:$HT$52,MATCH($A44,DATA!$B:$B,0),FALSE)-1,3),0)</f>
        <v>0.10100000000000001</v>
      </c>
      <c r="G44">
        <f>IFERROR(ROUND(HLOOKUP(LEFT(G$1,4)&amp;"-"&amp;RIGHT(G$1,2),DATA!$D$1:$HT$52,MATCH($A44,DATA!$B:$B,0),FALSE)/HLOOKUP(LEFT(G$1,4)*1-1&amp;"-"&amp;RIGHT(G$1,2),DATA!$D$1:$HT$52,MATCH($A44,DATA!$B:$B,0),FALSE)-1,3),0)</f>
        <v>6.7000000000000004E-2</v>
      </c>
      <c r="H44">
        <f>IFERROR(ROUND(HLOOKUP(LEFT(H$1,4)&amp;"-"&amp;RIGHT(H$1,2),DATA!$D$1:$HT$52,MATCH($A44,DATA!$B:$B,0),FALSE)/HLOOKUP(LEFT(H$1,4)*1-1&amp;"-"&amp;RIGHT(H$1,2),DATA!$D$1:$HT$52,MATCH($A44,DATA!$B:$B,0),FALSE)-1,3),0)</f>
        <v>1.7000000000000001E-2</v>
      </c>
      <c r="I44">
        <f>IFERROR(ROUND(HLOOKUP(LEFT(I$1,4)&amp;"-"&amp;RIGHT(I$1,2),DATA!$D$1:$HT$52,MATCH($A44,DATA!$B:$B,0),FALSE)/HLOOKUP(LEFT(I$1,4)*1-1&amp;"-"&amp;RIGHT(I$1,2),DATA!$D$1:$HT$52,MATCH($A44,DATA!$B:$B,0),FALSE)-1,3),0)</f>
        <v>-0.03</v>
      </c>
      <c r="J44">
        <f>IFERROR(ROUND(HLOOKUP(LEFT(J$1,4)&amp;"-"&amp;RIGHT(J$1,2),DATA!$D$1:$HT$52,MATCH($A44,DATA!$B:$B,0),FALSE)/HLOOKUP(LEFT(J$1,4)*1-1&amp;"-"&amp;RIGHT(J$1,2),DATA!$D$1:$HT$52,MATCH($A44,DATA!$B:$B,0),FALSE)-1,3),0)</f>
        <v>-2.5999999999999999E-2</v>
      </c>
      <c r="K44">
        <f>IFERROR(ROUND(HLOOKUP(LEFT(K$1,4)&amp;"-"&amp;RIGHT(K$1,2),DATA!$D$1:$HT$52,MATCH($A44,DATA!$B:$B,0),FALSE)/HLOOKUP(LEFT(K$1,4)*1-1&amp;"-"&amp;RIGHT(K$1,2),DATA!$D$1:$HT$52,MATCH($A44,DATA!$B:$B,0),FALSE)-1,3),0)</f>
        <v>-2.4E-2</v>
      </c>
      <c r="L44">
        <f>IFERROR(ROUND(HLOOKUP(LEFT(L$1,4)&amp;"-"&amp;RIGHT(L$1,2),DATA!$D$1:$HT$52,MATCH($A44,DATA!$B:$B,0),FALSE)/HLOOKUP(LEFT(L$1,4)*1-1&amp;"-"&amp;RIGHT(L$1,2),DATA!$D$1:$HT$52,MATCH($A44,DATA!$B:$B,0),FALSE)-1,3),0)</f>
        <v>-3.1E-2</v>
      </c>
      <c r="M44">
        <f>IFERROR(ROUND(HLOOKUP(LEFT(M$1,4)&amp;"-"&amp;RIGHT(M$1,2),DATA!$D$1:$HT$52,MATCH($A44,DATA!$B:$B,0),FALSE)/HLOOKUP(LEFT(M$1,4)*1-1&amp;"-"&amp;RIGHT(M$1,2),DATA!$D$1:$HT$52,MATCH($A44,DATA!$B:$B,0),FALSE)-1,3),0)</f>
        <v>4.0000000000000001E-3</v>
      </c>
      <c r="N44">
        <f>IFERROR(ROUND(HLOOKUP(LEFT(N$1,4)&amp;"-"&amp;RIGHT(N$1,2),DATA!$D$1:$HT$52,MATCH($A44,DATA!$B:$B,0),FALSE)/HLOOKUP(LEFT(N$1,4)*1-1&amp;"-"&amp;RIGHT(N$1,2),DATA!$D$1:$HT$52,MATCH($A44,DATA!$B:$B,0),FALSE)-1,3),0)</f>
        <v>0.04</v>
      </c>
      <c r="O44">
        <f>IFERROR(ROUND(HLOOKUP(LEFT(O$1,4)&amp;"-"&amp;RIGHT(O$1,2),DATA!$D$1:$HT$52,MATCH($A44,DATA!$B:$B,0),FALSE)/HLOOKUP(LEFT(O$1,4)*1-1&amp;"-"&amp;RIGHT(O$1,2),DATA!$D$1:$HT$52,MATCH($A44,DATA!$B:$B,0),FALSE)-1,3),0)</f>
        <v>4.4999999999999998E-2</v>
      </c>
      <c r="P44">
        <f>IFERROR(ROUND(HLOOKUP(LEFT(P$1,4)&amp;"-"&amp;RIGHT(P$1,2),DATA!$D$1:$HT$52,MATCH($A44,DATA!$B:$B,0),FALSE)/HLOOKUP(LEFT(P$1,4)*1-1&amp;"-"&amp;RIGHT(P$1,2),DATA!$D$1:$HT$52,MATCH($A44,DATA!$B:$B,0),FALSE)-1,3),0)</f>
        <v>6.0999999999999999E-2</v>
      </c>
      <c r="Q44">
        <f>IFERROR(ROUND(HLOOKUP(LEFT(Q$1,4)&amp;"-"&amp;RIGHT(Q$1,2),DATA!$D$1:$HT$52,MATCH($A44,DATA!$B:$B,0),FALSE)/HLOOKUP(LEFT(Q$1,4)*1-1&amp;"-"&amp;RIGHT(Q$1,2),DATA!$D$1:$HT$52,MATCH($A44,DATA!$B:$B,0),FALSE)-1,3),0)</f>
        <v>8.4000000000000005E-2</v>
      </c>
      <c r="R44">
        <f>IFERROR(ROUND(HLOOKUP(LEFT(R$1,4)&amp;"-"&amp;RIGHT(R$1,2),DATA!$D$1:$HT$52,MATCH($A44,DATA!$B:$B,0),FALSE)/HLOOKUP(LEFT(R$1,4)*1-1&amp;"-"&amp;RIGHT(R$1,2),DATA!$D$1:$HT$52,MATCH($A44,DATA!$B:$B,0),FALSE)-1,3),0)</f>
        <v>0.08</v>
      </c>
    </row>
    <row r="45" spans="1:18" x14ac:dyDescent="0.3">
      <c r="A45" t="s">
        <v>229</v>
      </c>
      <c r="B45">
        <f>IFERROR(ROUND(HLOOKUP(LEFT(B$1,4)&amp;"-"&amp;RIGHT(B$1,2),DATA!$D$1:$HT$52,MATCH($A45,DATA!$B:$B,0),FALSE)/HLOOKUP(LEFT(B$1,4)*1-1&amp;"-"&amp;RIGHT(B$1,2),DATA!$D$1:$HT$52,MATCH($A45,DATA!$B:$B,0),FALSE)-1,3),0)</f>
        <v>1.7000000000000001E-2</v>
      </c>
      <c r="C45">
        <f>IFERROR(ROUND(HLOOKUP(LEFT(C$1,4)&amp;"-"&amp;RIGHT(C$1,2),DATA!$D$1:$HT$52,MATCH($A45,DATA!$B:$B,0),FALSE)/HLOOKUP(LEFT(C$1,4)*1-1&amp;"-"&amp;RIGHT(C$1,2),DATA!$D$1:$HT$52,MATCH($A45,DATA!$B:$B,0),FALSE)-1,3),0)</f>
        <v>0.04</v>
      </c>
      <c r="D45">
        <f>IFERROR(ROUND(HLOOKUP(LEFT(D$1,4)&amp;"-"&amp;RIGHT(D$1,2),DATA!$D$1:$HT$52,MATCH($A45,DATA!$B:$B,0),FALSE)/HLOOKUP(LEFT(D$1,4)*1-1&amp;"-"&amp;RIGHT(D$1,2),DATA!$D$1:$HT$52,MATCH($A45,DATA!$B:$B,0),FALSE)-1,3),0)</f>
        <v>2.3E-2</v>
      </c>
      <c r="E45">
        <f>IFERROR(ROUND(HLOOKUP(LEFT(E$1,4)&amp;"-"&amp;RIGHT(E$1,2),DATA!$D$1:$HT$52,MATCH($A45,DATA!$B:$B,0),FALSE)/HLOOKUP(LEFT(E$1,4)*1-1&amp;"-"&amp;RIGHT(E$1,2),DATA!$D$1:$HT$52,MATCH($A45,DATA!$B:$B,0),FALSE)-1,3),0)</f>
        <v>7.3999999999999996E-2</v>
      </c>
      <c r="F45">
        <f>IFERROR(ROUND(HLOOKUP(LEFT(F$1,4)&amp;"-"&amp;RIGHT(F$1,2),DATA!$D$1:$HT$52,MATCH($A45,DATA!$B:$B,0),FALSE)/HLOOKUP(LEFT(F$1,4)*1-1&amp;"-"&amp;RIGHT(F$1,2),DATA!$D$1:$HT$52,MATCH($A45,DATA!$B:$B,0),FALSE)-1,3),0)</f>
        <v>2.5999999999999999E-2</v>
      </c>
      <c r="G45">
        <f>IFERROR(ROUND(HLOOKUP(LEFT(G$1,4)&amp;"-"&amp;RIGHT(G$1,2),DATA!$D$1:$HT$52,MATCH($A45,DATA!$B:$B,0),FALSE)/HLOOKUP(LEFT(G$1,4)*1-1&amp;"-"&amp;RIGHT(G$1,2),DATA!$D$1:$HT$52,MATCH($A45,DATA!$B:$B,0),FALSE)-1,3),0)</f>
        <v>3.9E-2</v>
      </c>
      <c r="H45">
        <f>IFERROR(ROUND(HLOOKUP(LEFT(H$1,4)&amp;"-"&amp;RIGHT(H$1,2),DATA!$D$1:$HT$52,MATCH($A45,DATA!$B:$B,0),FALSE)/HLOOKUP(LEFT(H$1,4)*1-1&amp;"-"&amp;RIGHT(H$1,2),DATA!$D$1:$HT$52,MATCH($A45,DATA!$B:$B,0),FALSE)-1,3),0)</f>
        <v>0.03</v>
      </c>
      <c r="I45">
        <f>IFERROR(ROUND(HLOOKUP(LEFT(I$1,4)&amp;"-"&amp;RIGHT(I$1,2),DATA!$D$1:$HT$52,MATCH($A45,DATA!$B:$B,0),FALSE)/HLOOKUP(LEFT(I$1,4)*1-1&amp;"-"&amp;RIGHT(I$1,2),DATA!$D$1:$HT$52,MATCH($A45,DATA!$B:$B,0),FALSE)-1,3),0)</f>
        <v>-4.4999999999999998E-2</v>
      </c>
      <c r="J45">
        <f>IFERROR(ROUND(HLOOKUP(LEFT(J$1,4)&amp;"-"&amp;RIGHT(J$1,2),DATA!$D$1:$HT$52,MATCH($A45,DATA!$B:$B,0),FALSE)/HLOOKUP(LEFT(J$1,4)*1-1&amp;"-"&amp;RIGHT(J$1,2),DATA!$D$1:$HT$52,MATCH($A45,DATA!$B:$B,0),FALSE)-1,3),0)</f>
        <v>-1.4E-2</v>
      </c>
      <c r="K45">
        <f>IFERROR(ROUND(HLOOKUP(LEFT(K$1,4)&amp;"-"&amp;RIGHT(K$1,2),DATA!$D$1:$HT$52,MATCH($A45,DATA!$B:$B,0),FALSE)/HLOOKUP(LEFT(K$1,4)*1-1&amp;"-"&amp;RIGHT(K$1,2),DATA!$D$1:$HT$52,MATCH($A45,DATA!$B:$B,0),FALSE)-1,3),0)</f>
        <v>-1.4999999999999999E-2</v>
      </c>
      <c r="L45">
        <f>IFERROR(ROUND(HLOOKUP(LEFT(L$1,4)&amp;"-"&amp;RIGHT(L$1,2),DATA!$D$1:$HT$52,MATCH($A45,DATA!$B:$B,0),FALSE)/HLOOKUP(LEFT(L$1,4)*1-1&amp;"-"&amp;RIGHT(L$1,2),DATA!$D$1:$HT$52,MATCH($A45,DATA!$B:$B,0),FALSE)-1,3),0)</f>
        <v>-2.3E-2</v>
      </c>
      <c r="M45">
        <f>IFERROR(ROUND(HLOOKUP(LEFT(M$1,4)&amp;"-"&amp;RIGHT(M$1,2),DATA!$D$1:$HT$52,MATCH($A45,DATA!$B:$B,0),FALSE)/HLOOKUP(LEFT(M$1,4)*1-1&amp;"-"&amp;RIGHT(M$1,2),DATA!$D$1:$HT$52,MATCH($A45,DATA!$B:$B,0),FALSE)-1,3),0)</f>
        <v>1.4E-2</v>
      </c>
      <c r="N45">
        <f>IFERROR(ROUND(HLOOKUP(LEFT(N$1,4)&amp;"-"&amp;RIGHT(N$1,2),DATA!$D$1:$HT$52,MATCH($A45,DATA!$B:$B,0),FALSE)/HLOOKUP(LEFT(N$1,4)*1-1&amp;"-"&amp;RIGHT(N$1,2),DATA!$D$1:$HT$52,MATCH($A45,DATA!$B:$B,0),FALSE)-1,3),0)</f>
        <v>4.4999999999999998E-2</v>
      </c>
      <c r="O45">
        <f>IFERROR(ROUND(HLOOKUP(LEFT(O$1,4)&amp;"-"&amp;RIGHT(O$1,2),DATA!$D$1:$HT$52,MATCH($A45,DATA!$B:$B,0),FALSE)/HLOOKUP(LEFT(O$1,4)*1-1&amp;"-"&amp;RIGHT(O$1,2),DATA!$D$1:$HT$52,MATCH($A45,DATA!$B:$B,0),FALSE)-1,3),0)</f>
        <v>5.7000000000000002E-2</v>
      </c>
      <c r="P45">
        <f>IFERROR(ROUND(HLOOKUP(LEFT(P$1,4)&amp;"-"&amp;RIGHT(P$1,2),DATA!$D$1:$HT$52,MATCH($A45,DATA!$B:$B,0),FALSE)/HLOOKUP(LEFT(P$1,4)*1-1&amp;"-"&amp;RIGHT(P$1,2),DATA!$D$1:$HT$52,MATCH($A45,DATA!$B:$B,0),FALSE)-1,3),0)</f>
        <v>7.0999999999999994E-2</v>
      </c>
      <c r="Q45">
        <f>IFERROR(ROUND(HLOOKUP(LEFT(Q$1,4)&amp;"-"&amp;RIGHT(Q$1,2),DATA!$D$1:$HT$52,MATCH($A45,DATA!$B:$B,0),FALSE)/HLOOKUP(LEFT(Q$1,4)*1-1&amp;"-"&amp;RIGHT(Q$1,2),DATA!$D$1:$HT$52,MATCH($A45,DATA!$B:$B,0),FALSE)-1,3),0)</f>
        <v>0.109</v>
      </c>
      <c r="R45">
        <f>IFERROR(ROUND(HLOOKUP(LEFT(R$1,4)&amp;"-"&amp;RIGHT(R$1,2),DATA!$D$1:$HT$52,MATCH($A45,DATA!$B:$B,0),FALSE)/HLOOKUP(LEFT(R$1,4)*1-1&amp;"-"&amp;RIGHT(R$1,2),DATA!$D$1:$HT$52,MATCH($A45,DATA!$B:$B,0),FALSE)-1,3),0)</f>
        <v>7.1999999999999995E-2</v>
      </c>
    </row>
    <row r="46" spans="1:18" x14ac:dyDescent="0.3">
      <c r="A46" t="s">
        <v>261</v>
      </c>
      <c r="B46">
        <f>IFERROR(ROUND(HLOOKUP(LEFT(B$1,4)&amp;"-"&amp;RIGHT(B$1,2),DATA!$D$1:$HT$52,MATCH($A46,DATA!$B:$B,0),FALSE)/HLOOKUP(LEFT(B$1,4)*1-1&amp;"-"&amp;RIGHT(B$1,2),DATA!$D$1:$HT$52,MATCH($A46,DATA!$B:$B,0),FALSE)-1,3),0)</f>
        <v>1.2E-2</v>
      </c>
      <c r="C46">
        <f>IFERROR(ROUND(HLOOKUP(LEFT(C$1,4)&amp;"-"&amp;RIGHT(C$1,2),DATA!$D$1:$HT$52,MATCH($A46,DATA!$B:$B,0),FALSE)/HLOOKUP(LEFT(C$1,4)*1-1&amp;"-"&amp;RIGHT(C$1,2),DATA!$D$1:$HT$52,MATCH($A46,DATA!$B:$B,0),FALSE)-1,3),0)</f>
        <v>1E-3</v>
      </c>
      <c r="D46">
        <f>IFERROR(ROUND(HLOOKUP(LEFT(D$1,4)&amp;"-"&amp;RIGHT(D$1,2),DATA!$D$1:$HT$52,MATCH($A46,DATA!$B:$B,0),FALSE)/HLOOKUP(LEFT(D$1,4)*1-1&amp;"-"&amp;RIGHT(D$1,2),DATA!$D$1:$HT$52,MATCH($A46,DATA!$B:$B,0),FALSE)-1,3),0)</f>
        <v>2.5999999999999999E-2</v>
      </c>
      <c r="E46">
        <f>IFERROR(ROUND(HLOOKUP(LEFT(E$1,4)&amp;"-"&amp;RIGHT(E$1,2),DATA!$D$1:$HT$52,MATCH($A46,DATA!$B:$B,0),FALSE)/HLOOKUP(LEFT(E$1,4)*1-1&amp;"-"&amp;RIGHT(E$1,2),DATA!$D$1:$HT$52,MATCH($A46,DATA!$B:$B,0),FALSE)-1,3),0)</f>
        <v>-4.0000000000000001E-3</v>
      </c>
      <c r="F46">
        <f>IFERROR(ROUND(HLOOKUP(LEFT(F$1,4)&amp;"-"&amp;RIGHT(F$1,2),DATA!$D$1:$HT$52,MATCH($A46,DATA!$B:$B,0),FALSE)/HLOOKUP(LEFT(F$1,4)*1-1&amp;"-"&amp;RIGHT(F$1,2),DATA!$D$1:$HT$52,MATCH($A46,DATA!$B:$B,0),FALSE)-1,3),0)</f>
        <v>7.0999999999999994E-2</v>
      </c>
      <c r="G46">
        <f>IFERROR(ROUND(HLOOKUP(LEFT(G$1,4)&amp;"-"&amp;RIGHT(G$1,2),DATA!$D$1:$HT$52,MATCH($A46,DATA!$B:$B,0),FALSE)/HLOOKUP(LEFT(G$1,4)*1-1&amp;"-"&amp;RIGHT(G$1,2),DATA!$D$1:$HT$52,MATCH($A46,DATA!$B:$B,0),FALSE)-1,3),0)</f>
        <v>0.17299999999999999</v>
      </c>
      <c r="H46">
        <f>IFERROR(ROUND(HLOOKUP(LEFT(H$1,4)&amp;"-"&amp;RIGHT(H$1,2),DATA!$D$1:$HT$52,MATCH($A46,DATA!$B:$B,0),FALSE)/HLOOKUP(LEFT(H$1,4)*1-1&amp;"-"&amp;RIGHT(H$1,2),DATA!$D$1:$HT$52,MATCH($A46,DATA!$B:$B,0),FALSE)-1,3),0)</f>
        <v>0.14599999999999999</v>
      </c>
      <c r="I46">
        <f>IFERROR(ROUND(HLOOKUP(LEFT(I$1,4)&amp;"-"&amp;RIGHT(I$1,2),DATA!$D$1:$HT$52,MATCH($A46,DATA!$B:$B,0),FALSE)/HLOOKUP(LEFT(I$1,4)*1-1&amp;"-"&amp;RIGHT(I$1,2),DATA!$D$1:$HT$52,MATCH($A46,DATA!$B:$B,0),FALSE)-1,3),0)</f>
        <v>-2.3E-2</v>
      </c>
      <c r="J46">
        <f>IFERROR(ROUND(HLOOKUP(LEFT(J$1,4)&amp;"-"&amp;RIGHT(J$1,2),DATA!$D$1:$HT$52,MATCH($A46,DATA!$B:$B,0),FALSE)/HLOOKUP(LEFT(J$1,4)*1-1&amp;"-"&amp;RIGHT(J$1,2),DATA!$D$1:$HT$52,MATCH($A46,DATA!$B:$B,0),FALSE)-1,3),0)</f>
        <v>-8.2000000000000003E-2</v>
      </c>
      <c r="K46">
        <f>IFERROR(ROUND(HLOOKUP(LEFT(K$1,4)&amp;"-"&amp;RIGHT(K$1,2),DATA!$D$1:$HT$52,MATCH($A46,DATA!$B:$B,0),FALSE)/HLOOKUP(LEFT(K$1,4)*1-1&amp;"-"&amp;RIGHT(K$1,2),DATA!$D$1:$HT$52,MATCH($A46,DATA!$B:$B,0),FALSE)-1,3),0)</f>
        <v>-6.8000000000000005E-2</v>
      </c>
      <c r="L46">
        <f>IFERROR(ROUND(HLOOKUP(LEFT(L$1,4)&amp;"-"&amp;RIGHT(L$1,2),DATA!$D$1:$HT$52,MATCH($A46,DATA!$B:$B,0),FALSE)/HLOOKUP(LEFT(L$1,4)*1-1&amp;"-"&amp;RIGHT(L$1,2),DATA!$D$1:$HT$52,MATCH($A46,DATA!$B:$B,0),FALSE)-1,3),0)</f>
        <v>-0.05</v>
      </c>
      <c r="M46">
        <f>IFERROR(ROUND(HLOOKUP(LEFT(M$1,4)&amp;"-"&amp;RIGHT(M$1,2),DATA!$D$1:$HT$52,MATCH($A46,DATA!$B:$B,0),FALSE)/HLOOKUP(LEFT(M$1,4)*1-1&amp;"-"&amp;RIGHT(M$1,2),DATA!$D$1:$HT$52,MATCH($A46,DATA!$B:$B,0),FALSE)-1,3),0)</f>
        <v>2.4E-2</v>
      </c>
      <c r="N46">
        <f>IFERROR(ROUND(HLOOKUP(LEFT(N$1,4)&amp;"-"&amp;RIGHT(N$1,2),DATA!$D$1:$HT$52,MATCH($A46,DATA!$B:$B,0),FALSE)/HLOOKUP(LEFT(N$1,4)*1-1&amp;"-"&amp;RIGHT(N$1,2),DATA!$D$1:$HT$52,MATCH($A46,DATA!$B:$B,0),FALSE)-1,3),0)</f>
        <v>9.7000000000000003E-2</v>
      </c>
      <c r="O46">
        <f>IFERROR(ROUND(HLOOKUP(LEFT(O$1,4)&amp;"-"&amp;RIGHT(O$1,2),DATA!$D$1:$HT$52,MATCH($A46,DATA!$B:$B,0),FALSE)/HLOOKUP(LEFT(O$1,4)*1-1&amp;"-"&amp;RIGHT(O$1,2),DATA!$D$1:$HT$52,MATCH($A46,DATA!$B:$B,0),FALSE)-1,3),0)</f>
        <v>5.6000000000000001E-2</v>
      </c>
      <c r="P46">
        <f>IFERROR(ROUND(HLOOKUP(LEFT(P$1,4)&amp;"-"&amp;RIGHT(P$1,2),DATA!$D$1:$HT$52,MATCH($A46,DATA!$B:$B,0),FALSE)/HLOOKUP(LEFT(P$1,4)*1-1&amp;"-"&amp;RIGHT(P$1,2),DATA!$D$1:$HT$52,MATCH($A46,DATA!$B:$B,0),FALSE)-1,3),0)</f>
        <v>6.4000000000000001E-2</v>
      </c>
      <c r="Q46">
        <f>IFERROR(ROUND(HLOOKUP(LEFT(Q$1,4)&amp;"-"&amp;RIGHT(Q$1,2),DATA!$D$1:$HT$52,MATCH($A46,DATA!$B:$B,0),FALSE)/HLOOKUP(LEFT(Q$1,4)*1-1&amp;"-"&amp;RIGHT(Q$1,2),DATA!$D$1:$HT$52,MATCH($A46,DATA!$B:$B,0),FALSE)-1,3),0)</f>
        <v>8.4000000000000005E-2</v>
      </c>
      <c r="R46">
        <f>IFERROR(ROUND(HLOOKUP(LEFT(R$1,4)&amp;"-"&amp;RIGHT(R$1,2),DATA!$D$1:$HT$52,MATCH($A46,DATA!$B:$B,0),FALSE)/HLOOKUP(LEFT(R$1,4)*1-1&amp;"-"&amp;RIGHT(R$1,2),DATA!$D$1:$HT$52,MATCH($A46,DATA!$B:$B,0),FALSE)-1,3),0)</f>
        <v>9.9000000000000005E-2</v>
      </c>
    </row>
    <row r="47" spans="1:18" x14ac:dyDescent="0.3">
      <c r="A47" t="s">
        <v>276</v>
      </c>
      <c r="B47">
        <f>IFERROR(ROUND(HLOOKUP(LEFT(B$1,4)&amp;"-"&amp;RIGHT(B$1,2),DATA!$D$1:$HT$52,MATCH($A47,DATA!$B:$B,0),FALSE)/HLOOKUP(LEFT(B$1,4)*1-1&amp;"-"&amp;RIGHT(B$1,2),DATA!$D$1:$HT$52,MATCH($A47,DATA!$B:$B,0),FALSE)-1,3),0)</f>
        <v>7.5999999999999998E-2</v>
      </c>
      <c r="C47">
        <f>IFERROR(ROUND(HLOOKUP(LEFT(C$1,4)&amp;"-"&amp;RIGHT(C$1,2),DATA!$D$1:$HT$52,MATCH($A47,DATA!$B:$B,0),FALSE)/HLOOKUP(LEFT(C$1,4)*1-1&amp;"-"&amp;RIGHT(C$1,2),DATA!$D$1:$HT$52,MATCH($A47,DATA!$B:$B,0),FALSE)-1,3),0)</f>
        <v>9.6000000000000002E-2</v>
      </c>
      <c r="D47">
        <f>IFERROR(ROUND(HLOOKUP(LEFT(D$1,4)&amp;"-"&amp;RIGHT(D$1,2),DATA!$D$1:$HT$52,MATCH($A47,DATA!$B:$B,0),FALSE)/HLOOKUP(LEFT(D$1,4)*1-1&amp;"-"&amp;RIGHT(D$1,2),DATA!$D$1:$HT$52,MATCH($A47,DATA!$B:$B,0),FALSE)-1,3),0)</f>
        <v>0.105</v>
      </c>
      <c r="E47">
        <f>IFERROR(ROUND(HLOOKUP(LEFT(E$1,4)&amp;"-"&amp;RIGHT(E$1,2),DATA!$D$1:$HT$52,MATCH($A47,DATA!$B:$B,0),FALSE)/HLOOKUP(LEFT(E$1,4)*1-1&amp;"-"&amp;RIGHT(E$1,2),DATA!$D$1:$HT$52,MATCH($A47,DATA!$B:$B,0),FALSE)-1,3),0)</f>
        <v>0.126</v>
      </c>
      <c r="F47">
        <f>IFERROR(ROUND(HLOOKUP(LEFT(F$1,4)&amp;"-"&amp;RIGHT(F$1,2),DATA!$D$1:$HT$52,MATCH($A47,DATA!$B:$B,0),FALSE)/HLOOKUP(LEFT(F$1,4)*1-1&amp;"-"&amp;RIGHT(F$1,2),DATA!$D$1:$HT$52,MATCH($A47,DATA!$B:$B,0),FALSE)-1,3),0)</f>
        <v>0.11899999999999999</v>
      </c>
      <c r="G47">
        <f>IFERROR(ROUND(HLOOKUP(LEFT(G$1,4)&amp;"-"&amp;RIGHT(G$1,2),DATA!$D$1:$HT$52,MATCH($A47,DATA!$B:$B,0),FALSE)/HLOOKUP(LEFT(G$1,4)*1-1&amp;"-"&amp;RIGHT(G$1,2),DATA!$D$1:$HT$52,MATCH($A47,DATA!$B:$B,0),FALSE)-1,3),0)</f>
        <v>4.1000000000000002E-2</v>
      </c>
      <c r="H47">
        <f>IFERROR(ROUND(HLOOKUP(LEFT(H$1,4)&amp;"-"&amp;RIGHT(H$1,2),DATA!$D$1:$HT$52,MATCH($A47,DATA!$B:$B,0),FALSE)/HLOOKUP(LEFT(H$1,4)*1-1&amp;"-"&amp;RIGHT(H$1,2),DATA!$D$1:$HT$52,MATCH($A47,DATA!$B:$B,0),FALSE)-1,3),0)</f>
        <v>2E-3</v>
      </c>
      <c r="I47">
        <f>IFERROR(ROUND(HLOOKUP(LEFT(I$1,4)&amp;"-"&amp;RIGHT(I$1,2),DATA!$D$1:$HT$52,MATCH($A47,DATA!$B:$B,0),FALSE)/HLOOKUP(LEFT(I$1,4)*1-1&amp;"-"&amp;RIGHT(I$1,2),DATA!$D$1:$HT$52,MATCH($A47,DATA!$B:$B,0),FALSE)-1,3),0)</f>
        <v>-3.5999999999999997E-2</v>
      </c>
      <c r="J47">
        <f>IFERROR(ROUND(HLOOKUP(LEFT(J$1,4)&amp;"-"&amp;RIGHT(J$1,2),DATA!$D$1:$HT$52,MATCH($A47,DATA!$B:$B,0),FALSE)/HLOOKUP(LEFT(J$1,4)*1-1&amp;"-"&amp;RIGHT(J$1,2),DATA!$D$1:$HT$52,MATCH($A47,DATA!$B:$B,0),FALSE)-1,3),0)</f>
        <v>-3.6999999999999998E-2</v>
      </c>
      <c r="K47">
        <f>IFERROR(ROUND(HLOOKUP(LEFT(K$1,4)&amp;"-"&amp;RIGHT(K$1,2),DATA!$D$1:$HT$52,MATCH($A47,DATA!$B:$B,0),FALSE)/HLOOKUP(LEFT(K$1,4)*1-1&amp;"-"&amp;RIGHT(K$1,2),DATA!$D$1:$HT$52,MATCH($A47,DATA!$B:$B,0),FALSE)-1,3),0)</f>
        <v>6.0000000000000001E-3</v>
      </c>
      <c r="L47">
        <f>IFERROR(ROUND(HLOOKUP(LEFT(L$1,4)&amp;"-"&amp;RIGHT(L$1,2),DATA!$D$1:$HT$52,MATCH($A47,DATA!$B:$B,0),FALSE)/HLOOKUP(LEFT(L$1,4)*1-1&amp;"-"&amp;RIGHT(L$1,2),DATA!$D$1:$HT$52,MATCH($A47,DATA!$B:$B,0),FALSE)-1,3),0)</f>
        <v>-1E-3</v>
      </c>
      <c r="M47">
        <f>IFERROR(ROUND(HLOOKUP(LEFT(M$1,4)&amp;"-"&amp;RIGHT(M$1,2),DATA!$D$1:$HT$52,MATCH($A47,DATA!$B:$B,0),FALSE)/HLOOKUP(LEFT(M$1,4)*1-1&amp;"-"&amp;RIGHT(M$1,2),DATA!$D$1:$HT$52,MATCH($A47,DATA!$B:$B,0),FALSE)-1,3),0)</f>
        <v>-1E-3</v>
      </c>
      <c r="N47">
        <f>IFERROR(ROUND(HLOOKUP(LEFT(N$1,4)&amp;"-"&amp;RIGHT(N$1,2),DATA!$D$1:$HT$52,MATCH($A47,DATA!$B:$B,0),FALSE)/HLOOKUP(LEFT(N$1,4)*1-1&amp;"-"&amp;RIGHT(N$1,2),DATA!$D$1:$HT$52,MATCH($A47,DATA!$B:$B,0),FALSE)-1,3),0)</f>
        <v>1.0999999999999999E-2</v>
      </c>
      <c r="O47">
        <f>IFERROR(ROUND(HLOOKUP(LEFT(O$1,4)&amp;"-"&amp;RIGHT(O$1,2),DATA!$D$1:$HT$52,MATCH($A47,DATA!$B:$B,0),FALSE)/HLOOKUP(LEFT(O$1,4)*1-1&amp;"-"&amp;RIGHT(O$1,2),DATA!$D$1:$HT$52,MATCH($A47,DATA!$B:$B,0),FALSE)-1,3),0)</f>
        <v>1.2E-2</v>
      </c>
      <c r="P47">
        <f>IFERROR(ROUND(HLOOKUP(LEFT(P$1,4)&amp;"-"&amp;RIGHT(P$1,2),DATA!$D$1:$HT$52,MATCH($A47,DATA!$B:$B,0),FALSE)/HLOOKUP(LEFT(P$1,4)*1-1&amp;"-"&amp;RIGHT(P$1,2),DATA!$D$1:$HT$52,MATCH($A47,DATA!$B:$B,0),FALSE)-1,3),0)</f>
        <v>0</v>
      </c>
      <c r="Q47">
        <f>IFERROR(ROUND(HLOOKUP(LEFT(Q$1,4)&amp;"-"&amp;RIGHT(Q$1,2),DATA!$D$1:$HT$52,MATCH($A47,DATA!$B:$B,0),FALSE)/HLOOKUP(LEFT(Q$1,4)*1-1&amp;"-"&amp;RIGHT(Q$1,2),DATA!$D$1:$HT$52,MATCH($A47,DATA!$B:$B,0),FALSE)-1,3),0)</f>
        <v>2.1999999999999999E-2</v>
      </c>
      <c r="R47">
        <f>IFERROR(ROUND(HLOOKUP(LEFT(R$1,4)&amp;"-"&amp;RIGHT(R$1,2),DATA!$D$1:$HT$52,MATCH($A47,DATA!$B:$B,0),FALSE)/HLOOKUP(LEFT(R$1,4)*1-1&amp;"-"&amp;RIGHT(R$1,2),DATA!$D$1:$HT$52,MATCH($A47,DATA!$B:$B,0),FALSE)-1,3),0)</f>
        <v>3.5999999999999997E-2</v>
      </c>
    </row>
    <row r="48" spans="1:18" x14ac:dyDescent="0.3">
      <c r="A48" t="s">
        <v>239</v>
      </c>
      <c r="B48">
        <f>IFERROR(ROUND(HLOOKUP(LEFT(B$1,4)&amp;"-"&amp;RIGHT(B$1,2),DATA!$D$1:$HT$52,MATCH($A48,DATA!$B:$B,0),FALSE)/HLOOKUP(LEFT(B$1,4)*1-1&amp;"-"&amp;RIGHT(B$1,2),DATA!$D$1:$HT$52,MATCH($A48,DATA!$B:$B,0),FALSE)-1,3),0)</f>
        <v>8.3000000000000004E-2</v>
      </c>
      <c r="C48">
        <f>IFERROR(ROUND(HLOOKUP(LEFT(C$1,4)&amp;"-"&amp;RIGHT(C$1,2),DATA!$D$1:$HT$52,MATCH($A48,DATA!$B:$B,0),FALSE)/HLOOKUP(LEFT(C$1,4)*1-1&amp;"-"&amp;RIGHT(C$1,2),DATA!$D$1:$HT$52,MATCH($A48,DATA!$B:$B,0),FALSE)-1,3),0)</f>
        <v>0.10100000000000001</v>
      </c>
      <c r="D48">
        <f>IFERROR(ROUND(HLOOKUP(LEFT(D$1,4)&amp;"-"&amp;RIGHT(D$1,2),DATA!$D$1:$HT$52,MATCH($A48,DATA!$B:$B,0),FALSE)/HLOOKUP(LEFT(D$1,4)*1-1&amp;"-"&amp;RIGHT(D$1,2),DATA!$D$1:$HT$52,MATCH($A48,DATA!$B:$B,0),FALSE)-1,3),0)</f>
        <v>0.127</v>
      </c>
      <c r="E48">
        <f>IFERROR(ROUND(HLOOKUP(LEFT(E$1,4)&amp;"-"&amp;RIGHT(E$1,2),DATA!$D$1:$HT$52,MATCH($A48,DATA!$B:$B,0),FALSE)/HLOOKUP(LEFT(E$1,4)*1-1&amp;"-"&amp;RIGHT(E$1,2),DATA!$D$1:$HT$52,MATCH($A48,DATA!$B:$B,0),FALSE)-1,3),0)</f>
        <v>0.24</v>
      </c>
      <c r="F48">
        <f>IFERROR(ROUND(HLOOKUP(LEFT(F$1,4)&amp;"-"&amp;RIGHT(F$1,2),DATA!$D$1:$HT$52,MATCH($A48,DATA!$B:$B,0),FALSE)/HLOOKUP(LEFT(F$1,4)*1-1&amp;"-"&amp;RIGHT(F$1,2),DATA!$D$1:$HT$52,MATCH($A48,DATA!$B:$B,0),FALSE)-1,3),0)</f>
        <v>0.16400000000000001</v>
      </c>
      <c r="G48">
        <f>IFERROR(ROUND(HLOOKUP(LEFT(G$1,4)&amp;"-"&amp;RIGHT(G$1,2),DATA!$D$1:$HT$52,MATCH($A48,DATA!$B:$B,0),FALSE)/HLOOKUP(LEFT(G$1,4)*1-1&amp;"-"&amp;RIGHT(G$1,2),DATA!$D$1:$HT$52,MATCH($A48,DATA!$B:$B,0),FALSE)-1,3),0)</f>
        <v>1.7000000000000001E-2</v>
      </c>
      <c r="H48">
        <f>IFERROR(ROUND(HLOOKUP(LEFT(H$1,4)&amp;"-"&amp;RIGHT(H$1,2),DATA!$D$1:$HT$52,MATCH($A48,DATA!$B:$B,0),FALSE)/HLOOKUP(LEFT(H$1,4)*1-1&amp;"-"&amp;RIGHT(H$1,2),DATA!$D$1:$HT$52,MATCH($A48,DATA!$B:$B,0),FALSE)-1,3),0)</f>
        <v>-2.9000000000000001E-2</v>
      </c>
      <c r="I48">
        <f>IFERROR(ROUND(HLOOKUP(LEFT(I$1,4)&amp;"-"&amp;RIGHT(I$1,2),DATA!$D$1:$HT$52,MATCH($A48,DATA!$B:$B,0),FALSE)/HLOOKUP(LEFT(I$1,4)*1-1&amp;"-"&amp;RIGHT(I$1,2),DATA!$D$1:$HT$52,MATCH($A48,DATA!$B:$B,0),FALSE)-1,3),0)</f>
        <v>-9.0999999999999998E-2</v>
      </c>
      <c r="J48">
        <f>IFERROR(ROUND(HLOOKUP(LEFT(J$1,4)&amp;"-"&amp;RIGHT(J$1,2),DATA!$D$1:$HT$52,MATCH($A48,DATA!$B:$B,0),FALSE)/HLOOKUP(LEFT(J$1,4)*1-1&amp;"-"&amp;RIGHT(J$1,2),DATA!$D$1:$HT$52,MATCH($A48,DATA!$B:$B,0),FALSE)-1,3),0)</f>
        <v>-6.0999999999999999E-2</v>
      </c>
      <c r="K48">
        <f>IFERROR(ROUND(HLOOKUP(LEFT(K$1,4)&amp;"-"&amp;RIGHT(K$1,2),DATA!$D$1:$HT$52,MATCH($A48,DATA!$B:$B,0),FALSE)/HLOOKUP(LEFT(K$1,4)*1-1&amp;"-"&amp;RIGHT(K$1,2),DATA!$D$1:$HT$52,MATCH($A48,DATA!$B:$B,0),FALSE)-1,3),0)</f>
        <v>-3.2000000000000001E-2</v>
      </c>
      <c r="L48">
        <f>IFERROR(ROUND(HLOOKUP(LEFT(L$1,4)&amp;"-"&amp;RIGHT(L$1,2),DATA!$D$1:$HT$52,MATCH($A48,DATA!$B:$B,0),FALSE)/HLOOKUP(LEFT(L$1,4)*1-1&amp;"-"&amp;RIGHT(L$1,2),DATA!$D$1:$HT$52,MATCH($A48,DATA!$B:$B,0),FALSE)-1,3),0)</f>
        <v>-3.5999999999999997E-2</v>
      </c>
      <c r="M48">
        <f>IFERROR(ROUND(HLOOKUP(LEFT(M$1,4)&amp;"-"&amp;RIGHT(M$1,2),DATA!$D$1:$HT$52,MATCH($A48,DATA!$B:$B,0),FALSE)/HLOOKUP(LEFT(M$1,4)*1-1&amp;"-"&amp;RIGHT(M$1,2),DATA!$D$1:$HT$52,MATCH($A48,DATA!$B:$B,0),FALSE)-1,3),0)</f>
        <v>2.7E-2</v>
      </c>
      <c r="N48">
        <f>IFERROR(ROUND(HLOOKUP(LEFT(N$1,4)&amp;"-"&amp;RIGHT(N$1,2),DATA!$D$1:$HT$52,MATCH($A48,DATA!$B:$B,0),FALSE)/HLOOKUP(LEFT(N$1,4)*1-1&amp;"-"&amp;RIGHT(N$1,2),DATA!$D$1:$HT$52,MATCH($A48,DATA!$B:$B,0),FALSE)-1,3),0)</f>
        <v>3.6999999999999998E-2</v>
      </c>
      <c r="O48">
        <f>IFERROR(ROUND(HLOOKUP(LEFT(O$1,4)&amp;"-"&amp;RIGHT(O$1,2),DATA!$D$1:$HT$52,MATCH($A48,DATA!$B:$B,0),FALSE)/HLOOKUP(LEFT(O$1,4)*1-1&amp;"-"&amp;RIGHT(O$1,2),DATA!$D$1:$HT$52,MATCH($A48,DATA!$B:$B,0),FALSE)-1,3),0)</f>
        <v>2.4E-2</v>
      </c>
      <c r="P48">
        <f>IFERROR(ROUND(HLOOKUP(LEFT(P$1,4)&amp;"-"&amp;RIGHT(P$1,2),DATA!$D$1:$HT$52,MATCH($A48,DATA!$B:$B,0),FALSE)/HLOOKUP(LEFT(P$1,4)*1-1&amp;"-"&amp;RIGHT(P$1,2),DATA!$D$1:$HT$52,MATCH($A48,DATA!$B:$B,0),FALSE)-1,3),0)</f>
        <v>2.1999999999999999E-2</v>
      </c>
      <c r="Q48">
        <f>IFERROR(ROUND(HLOOKUP(LEFT(Q$1,4)&amp;"-"&amp;RIGHT(Q$1,2),DATA!$D$1:$HT$52,MATCH($A48,DATA!$B:$B,0),FALSE)/HLOOKUP(LEFT(Q$1,4)*1-1&amp;"-"&amp;RIGHT(Q$1,2),DATA!$D$1:$HT$52,MATCH($A48,DATA!$B:$B,0),FALSE)-1,3),0)</f>
        <v>3.9E-2</v>
      </c>
      <c r="R48">
        <f>IFERROR(ROUND(HLOOKUP(LEFT(R$1,4)&amp;"-"&amp;RIGHT(R$1,2),DATA!$D$1:$HT$52,MATCH($A48,DATA!$B:$B,0),FALSE)/HLOOKUP(LEFT(R$1,4)*1-1&amp;"-"&amp;RIGHT(R$1,2),DATA!$D$1:$HT$52,MATCH($A48,DATA!$B:$B,0),FALSE)-1,3),0)</f>
        <v>4.1000000000000002E-2</v>
      </c>
    </row>
    <row r="49" spans="1:18" x14ac:dyDescent="0.3">
      <c r="A49" t="s">
        <v>240</v>
      </c>
      <c r="B49">
        <f>IFERROR(ROUND(HLOOKUP(LEFT(B$1,4)&amp;"-"&amp;RIGHT(B$1,2),DATA!$D$1:$HT$52,MATCH($A49,DATA!$B:$B,0),FALSE)/HLOOKUP(LEFT(B$1,4)*1-1&amp;"-"&amp;RIGHT(B$1,2),DATA!$D$1:$HT$52,MATCH($A49,DATA!$B:$B,0),FALSE)-1,3),0)</f>
        <v>4.8000000000000001E-2</v>
      </c>
      <c r="C49">
        <f>IFERROR(ROUND(HLOOKUP(LEFT(C$1,4)&amp;"-"&amp;RIGHT(C$1,2),DATA!$D$1:$HT$52,MATCH($A49,DATA!$B:$B,0),FALSE)/HLOOKUP(LEFT(C$1,4)*1-1&amp;"-"&amp;RIGHT(C$1,2),DATA!$D$1:$HT$52,MATCH($A49,DATA!$B:$B,0),FALSE)-1,3),0)</f>
        <v>3.1E-2</v>
      </c>
      <c r="D49">
        <f>IFERROR(ROUND(HLOOKUP(LEFT(D$1,4)&amp;"-"&amp;RIGHT(D$1,2),DATA!$D$1:$HT$52,MATCH($A49,DATA!$B:$B,0),FALSE)/HLOOKUP(LEFT(D$1,4)*1-1&amp;"-"&amp;RIGHT(D$1,2),DATA!$D$1:$HT$52,MATCH($A49,DATA!$B:$B,0),FALSE)-1,3),0)</f>
        <v>8.1000000000000003E-2</v>
      </c>
      <c r="E49">
        <f>IFERROR(ROUND(HLOOKUP(LEFT(E$1,4)&amp;"-"&amp;RIGHT(E$1,2),DATA!$D$1:$HT$52,MATCH($A49,DATA!$B:$B,0),FALSE)/HLOOKUP(LEFT(E$1,4)*1-1&amp;"-"&amp;RIGHT(E$1,2),DATA!$D$1:$HT$52,MATCH($A49,DATA!$B:$B,0),FALSE)-1,3),0)</f>
        <v>0.14299999999999999</v>
      </c>
      <c r="F49">
        <f>IFERROR(ROUND(HLOOKUP(LEFT(F$1,4)&amp;"-"&amp;RIGHT(F$1,2),DATA!$D$1:$HT$52,MATCH($A49,DATA!$B:$B,0),FALSE)/HLOOKUP(LEFT(F$1,4)*1-1&amp;"-"&amp;RIGHT(F$1,2),DATA!$D$1:$HT$52,MATCH($A49,DATA!$B:$B,0),FALSE)-1,3),0)</f>
        <v>0.189</v>
      </c>
      <c r="G49">
        <f>IFERROR(ROUND(HLOOKUP(LEFT(G$1,4)&amp;"-"&amp;RIGHT(G$1,2),DATA!$D$1:$HT$52,MATCH($A49,DATA!$B:$B,0),FALSE)/HLOOKUP(LEFT(G$1,4)*1-1&amp;"-"&amp;RIGHT(G$1,2),DATA!$D$1:$HT$52,MATCH($A49,DATA!$B:$B,0),FALSE)-1,3),0)</f>
        <v>0.11700000000000001</v>
      </c>
      <c r="H49">
        <f>IFERROR(ROUND(HLOOKUP(LEFT(H$1,4)&amp;"-"&amp;RIGHT(H$1,2),DATA!$D$1:$HT$52,MATCH($A49,DATA!$B:$B,0),FALSE)/HLOOKUP(LEFT(H$1,4)*1-1&amp;"-"&amp;RIGHT(H$1,2),DATA!$D$1:$HT$52,MATCH($A49,DATA!$B:$B,0),FALSE)-1,3),0)</f>
        <v>0</v>
      </c>
      <c r="I49">
        <f>IFERROR(ROUND(HLOOKUP(LEFT(I$1,4)&amp;"-"&amp;RIGHT(I$1,2),DATA!$D$1:$HT$52,MATCH($A49,DATA!$B:$B,0),FALSE)/HLOOKUP(LEFT(I$1,4)*1-1&amp;"-"&amp;RIGHT(I$1,2),DATA!$D$1:$HT$52,MATCH($A49,DATA!$B:$B,0),FALSE)-1,3),0)</f>
        <v>-8.6999999999999994E-2</v>
      </c>
      <c r="J49">
        <f>IFERROR(ROUND(HLOOKUP(LEFT(J$1,4)&amp;"-"&amp;RIGHT(J$1,2),DATA!$D$1:$HT$52,MATCH($A49,DATA!$B:$B,0),FALSE)/HLOOKUP(LEFT(J$1,4)*1-1&amp;"-"&amp;RIGHT(J$1,2),DATA!$D$1:$HT$52,MATCH($A49,DATA!$B:$B,0),FALSE)-1,3),0)</f>
        <v>-8.5999999999999993E-2</v>
      </c>
      <c r="K49">
        <f>IFERROR(ROUND(HLOOKUP(LEFT(K$1,4)&amp;"-"&amp;RIGHT(K$1,2),DATA!$D$1:$HT$52,MATCH($A49,DATA!$B:$B,0),FALSE)/HLOOKUP(LEFT(K$1,4)*1-1&amp;"-"&amp;RIGHT(K$1,2),DATA!$D$1:$HT$52,MATCH($A49,DATA!$B:$B,0),FALSE)-1,3),0)</f>
        <v>-6.8000000000000005E-2</v>
      </c>
      <c r="L49">
        <f>IFERROR(ROUND(HLOOKUP(LEFT(L$1,4)&amp;"-"&amp;RIGHT(L$1,2),DATA!$D$1:$HT$52,MATCH($A49,DATA!$B:$B,0),FALSE)/HLOOKUP(LEFT(L$1,4)*1-1&amp;"-"&amp;RIGHT(L$1,2),DATA!$D$1:$HT$52,MATCH($A49,DATA!$B:$B,0),FALSE)-1,3),0)</f>
        <v>-0.08</v>
      </c>
      <c r="M49">
        <f>IFERROR(ROUND(HLOOKUP(LEFT(M$1,4)&amp;"-"&amp;RIGHT(M$1,2),DATA!$D$1:$HT$52,MATCH($A49,DATA!$B:$B,0),FALSE)/HLOOKUP(LEFT(M$1,4)*1-1&amp;"-"&amp;RIGHT(M$1,2),DATA!$D$1:$HT$52,MATCH($A49,DATA!$B:$B,0),FALSE)-1,3),0)</f>
        <v>2.9000000000000001E-2</v>
      </c>
      <c r="N49">
        <f>IFERROR(ROUND(HLOOKUP(LEFT(N$1,4)&amp;"-"&amp;RIGHT(N$1,2),DATA!$D$1:$HT$52,MATCH($A49,DATA!$B:$B,0),FALSE)/HLOOKUP(LEFT(N$1,4)*1-1&amp;"-"&amp;RIGHT(N$1,2),DATA!$D$1:$HT$52,MATCH($A49,DATA!$B:$B,0),FALSE)-1,3),0)</f>
        <v>9.1999999999999998E-2</v>
      </c>
      <c r="O49">
        <f>IFERROR(ROUND(HLOOKUP(LEFT(O$1,4)&amp;"-"&amp;RIGHT(O$1,2),DATA!$D$1:$HT$52,MATCH($A49,DATA!$B:$B,0),FALSE)/HLOOKUP(LEFT(O$1,4)*1-1&amp;"-"&amp;RIGHT(O$1,2),DATA!$D$1:$HT$52,MATCH($A49,DATA!$B:$B,0),FALSE)-1,3),0)</f>
        <v>6.5000000000000002E-2</v>
      </c>
      <c r="P49">
        <f>IFERROR(ROUND(HLOOKUP(LEFT(P$1,4)&amp;"-"&amp;RIGHT(P$1,2),DATA!$D$1:$HT$52,MATCH($A49,DATA!$B:$B,0),FALSE)/HLOOKUP(LEFT(P$1,4)*1-1&amp;"-"&amp;RIGHT(P$1,2),DATA!$D$1:$HT$52,MATCH($A49,DATA!$B:$B,0),FALSE)-1,3),0)</f>
        <v>9.7000000000000003E-2</v>
      </c>
      <c r="Q49">
        <f>IFERROR(ROUND(HLOOKUP(LEFT(Q$1,4)&amp;"-"&amp;RIGHT(Q$1,2),DATA!$D$1:$HT$52,MATCH($A49,DATA!$B:$B,0),FALSE)/HLOOKUP(LEFT(Q$1,4)*1-1&amp;"-"&amp;RIGHT(Q$1,2),DATA!$D$1:$HT$52,MATCH($A49,DATA!$B:$B,0),FALSE)-1,3),0)</f>
        <v>0.124</v>
      </c>
      <c r="R49">
        <f>IFERROR(ROUND(HLOOKUP(LEFT(R$1,4)&amp;"-"&amp;RIGHT(R$1,2),DATA!$D$1:$HT$52,MATCH($A49,DATA!$B:$B,0),FALSE)/HLOOKUP(LEFT(R$1,4)*1-1&amp;"-"&amp;RIGHT(R$1,2),DATA!$D$1:$HT$52,MATCH($A49,DATA!$B:$B,0),FALSE)-1,3),0)</f>
        <v>0.107</v>
      </c>
    </row>
    <row r="50" spans="1:18" x14ac:dyDescent="0.3">
      <c r="A50" t="s">
        <v>264</v>
      </c>
      <c r="B50">
        <f>IFERROR(ROUND(HLOOKUP(LEFT(B$1,4)&amp;"-"&amp;RIGHT(B$1,2),DATA!$D$1:$HT$52,MATCH($A50,DATA!$B:$B,0),FALSE)/HLOOKUP(LEFT(B$1,4)*1-1&amp;"-"&amp;RIGHT(B$1,2),DATA!$D$1:$HT$52,MATCH($A50,DATA!$B:$B,0),FALSE)-1,3),0)</f>
        <v>2.5000000000000001E-2</v>
      </c>
      <c r="C50">
        <f>IFERROR(ROUND(HLOOKUP(LEFT(C$1,4)&amp;"-"&amp;RIGHT(C$1,2),DATA!$D$1:$HT$52,MATCH($A50,DATA!$B:$B,0),FALSE)/HLOOKUP(LEFT(C$1,4)*1-1&amp;"-"&amp;RIGHT(C$1,2),DATA!$D$1:$HT$52,MATCH($A50,DATA!$B:$B,0),FALSE)-1,3),0)</f>
        <v>7.2999999999999995E-2</v>
      </c>
      <c r="D50">
        <f>IFERROR(ROUND(HLOOKUP(LEFT(D$1,4)&amp;"-"&amp;RIGHT(D$1,2),DATA!$D$1:$HT$52,MATCH($A50,DATA!$B:$B,0),FALSE)/HLOOKUP(LEFT(D$1,4)*1-1&amp;"-"&amp;RIGHT(D$1,2),DATA!$D$1:$HT$52,MATCH($A50,DATA!$B:$B,0),FALSE)-1,3),0)</f>
        <v>4.5999999999999999E-2</v>
      </c>
      <c r="E50">
        <f>IFERROR(ROUND(HLOOKUP(LEFT(E$1,4)&amp;"-"&amp;RIGHT(E$1,2),DATA!$D$1:$HT$52,MATCH($A50,DATA!$B:$B,0),FALSE)/HLOOKUP(LEFT(E$1,4)*1-1&amp;"-"&amp;RIGHT(E$1,2),DATA!$D$1:$HT$52,MATCH($A50,DATA!$B:$B,0),FALSE)-1,3),0)</f>
        <v>0.125</v>
      </c>
      <c r="F50">
        <f>IFERROR(ROUND(HLOOKUP(LEFT(F$1,4)&amp;"-"&amp;RIGHT(F$1,2),DATA!$D$1:$HT$52,MATCH($A50,DATA!$B:$B,0),FALSE)/HLOOKUP(LEFT(F$1,4)*1-1&amp;"-"&amp;RIGHT(F$1,2),DATA!$D$1:$HT$52,MATCH($A50,DATA!$B:$B,0),FALSE)-1,3),0)</f>
        <v>4.9000000000000002E-2</v>
      </c>
      <c r="G50">
        <f>IFERROR(ROUND(HLOOKUP(LEFT(G$1,4)&amp;"-"&amp;RIGHT(G$1,2),DATA!$D$1:$HT$52,MATCH($A50,DATA!$B:$B,0),FALSE)/HLOOKUP(LEFT(G$1,4)*1-1&amp;"-"&amp;RIGHT(G$1,2),DATA!$D$1:$HT$52,MATCH($A50,DATA!$B:$B,0),FALSE)-1,3),0)</f>
        <v>3.7999999999999999E-2</v>
      </c>
      <c r="H50">
        <f>IFERROR(ROUND(HLOOKUP(LEFT(H$1,4)&amp;"-"&amp;RIGHT(H$1,2),DATA!$D$1:$HT$52,MATCH($A50,DATA!$B:$B,0),FALSE)/HLOOKUP(LEFT(H$1,4)*1-1&amp;"-"&amp;RIGHT(H$1,2),DATA!$D$1:$HT$52,MATCH($A50,DATA!$B:$B,0),FALSE)-1,3),0)</f>
        <v>-7.0000000000000001E-3</v>
      </c>
      <c r="I50">
        <f>IFERROR(ROUND(HLOOKUP(LEFT(I$1,4)&amp;"-"&amp;RIGHT(I$1,2),DATA!$D$1:$HT$52,MATCH($A50,DATA!$B:$B,0),FALSE)/HLOOKUP(LEFT(I$1,4)*1-1&amp;"-"&amp;RIGHT(I$1,2),DATA!$D$1:$HT$52,MATCH($A50,DATA!$B:$B,0),FALSE)-1,3),0)</f>
        <v>-2.3E-2</v>
      </c>
      <c r="J50">
        <f>IFERROR(ROUND(HLOOKUP(LEFT(J$1,4)&amp;"-"&amp;RIGHT(J$1,2),DATA!$D$1:$HT$52,MATCH($A50,DATA!$B:$B,0),FALSE)/HLOOKUP(LEFT(J$1,4)*1-1&amp;"-"&amp;RIGHT(J$1,2),DATA!$D$1:$HT$52,MATCH($A50,DATA!$B:$B,0),FALSE)-1,3),0)</f>
        <v>-1.7000000000000001E-2</v>
      </c>
      <c r="K50">
        <f>IFERROR(ROUND(HLOOKUP(LEFT(K$1,4)&amp;"-"&amp;RIGHT(K$1,2),DATA!$D$1:$HT$52,MATCH($A50,DATA!$B:$B,0),FALSE)/HLOOKUP(LEFT(K$1,4)*1-1&amp;"-"&amp;RIGHT(K$1,2),DATA!$D$1:$HT$52,MATCH($A50,DATA!$B:$B,0),FALSE)-1,3),0)</f>
        <v>1E-3</v>
      </c>
      <c r="L50">
        <f>IFERROR(ROUND(HLOOKUP(LEFT(L$1,4)&amp;"-"&amp;RIGHT(L$1,2),DATA!$D$1:$HT$52,MATCH($A50,DATA!$B:$B,0),FALSE)/HLOOKUP(LEFT(L$1,4)*1-1&amp;"-"&amp;RIGHT(L$1,2),DATA!$D$1:$HT$52,MATCH($A50,DATA!$B:$B,0),FALSE)-1,3),0)</f>
        <v>-1.4E-2</v>
      </c>
      <c r="M50">
        <f>IFERROR(ROUND(HLOOKUP(LEFT(M$1,4)&amp;"-"&amp;RIGHT(M$1,2),DATA!$D$1:$HT$52,MATCH($A50,DATA!$B:$B,0),FALSE)/HLOOKUP(LEFT(M$1,4)*1-1&amp;"-"&amp;RIGHT(M$1,2),DATA!$D$1:$HT$52,MATCH($A50,DATA!$B:$B,0),FALSE)-1,3),0)</f>
        <v>1.4E-2</v>
      </c>
      <c r="N50">
        <f>IFERROR(ROUND(HLOOKUP(LEFT(N$1,4)&amp;"-"&amp;RIGHT(N$1,2),DATA!$D$1:$HT$52,MATCH($A50,DATA!$B:$B,0),FALSE)/HLOOKUP(LEFT(N$1,4)*1-1&amp;"-"&amp;RIGHT(N$1,2),DATA!$D$1:$HT$52,MATCH($A50,DATA!$B:$B,0),FALSE)-1,3),0)</f>
        <v>0.03</v>
      </c>
      <c r="O50">
        <f>IFERROR(ROUND(HLOOKUP(LEFT(O$1,4)&amp;"-"&amp;RIGHT(O$1,2),DATA!$D$1:$HT$52,MATCH($A50,DATA!$B:$B,0),FALSE)/HLOOKUP(LEFT(O$1,4)*1-1&amp;"-"&amp;RIGHT(O$1,2),DATA!$D$1:$HT$52,MATCH($A50,DATA!$B:$B,0),FALSE)-1,3),0)</f>
        <v>1.7999999999999999E-2</v>
      </c>
      <c r="P50">
        <f>IFERROR(ROUND(HLOOKUP(LEFT(P$1,4)&amp;"-"&amp;RIGHT(P$1,2),DATA!$D$1:$HT$52,MATCH($A50,DATA!$B:$B,0),FALSE)/HLOOKUP(LEFT(P$1,4)*1-1&amp;"-"&amp;RIGHT(P$1,2),DATA!$D$1:$HT$52,MATCH($A50,DATA!$B:$B,0),FALSE)-1,3),0)</f>
        <v>5.2999999999999999E-2</v>
      </c>
      <c r="Q50">
        <f>IFERROR(ROUND(HLOOKUP(LEFT(Q$1,4)&amp;"-"&amp;RIGHT(Q$1,2),DATA!$D$1:$HT$52,MATCH($A50,DATA!$B:$B,0),FALSE)/HLOOKUP(LEFT(Q$1,4)*1-1&amp;"-"&amp;RIGHT(Q$1,2),DATA!$D$1:$HT$52,MATCH($A50,DATA!$B:$B,0),FALSE)-1,3),0)</f>
        <v>1.7000000000000001E-2</v>
      </c>
      <c r="R50">
        <f>IFERROR(ROUND(HLOOKUP(LEFT(R$1,4)&amp;"-"&amp;RIGHT(R$1,2),DATA!$D$1:$HT$52,MATCH($A50,DATA!$B:$B,0),FALSE)/HLOOKUP(LEFT(R$1,4)*1-1&amp;"-"&amp;RIGHT(R$1,2),DATA!$D$1:$HT$52,MATCH($A50,DATA!$B:$B,0),FALSE)-1,3),0)</f>
        <v>2.1000000000000001E-2</v>
      </c>
    </row>
    <row r="51" spans="1:18" x14ac:dyDescent="0.3">
      <c r="A51" t="s">
        <v>247</v>
      </c>
      <c r="B51">
        <f>IFERROR(ROUND(HLOOKUP(LEFT(B$1,4)&amp;"-"&amp;RIGHT(B$1,2),DATA!$D$1:$HT$52,MATCH($A51,DATA!$B:$B,0),FALSE)/HLOOKUP(LEFT(B$1,4)*1-1&amp;"-"&amp;RIGHT(B$1,2),DATA!$D$1:$HT$52,MATCH($A51,DATA!$B:$B,0),FALSE)-1,3),0)</f>
        <v>6.4000000000000001E-2</v>
      </c>
      <c r="C51">
        <f>IFERROR(ROUND(HLOOKUP(LEFT(C$1,4)&amp;"-"&amp;RIGHT(C$1,2),DATA!$D$1:$HT$52,MATCH($A51,DATA!$B:$B,0),FALSE)/HLOOKUP(LEFT(C$1,4)*1-1&amp;"-"&amp;RIGHT(C$1,2),DATA!$D$1:$HT$52,MATCH($A51,DATA!$B:$B,0),FALSE)-1,3),0)</f>
        <v>0.06</v>
      </c>
      <c r="D51">
        <f>IFERROR(ROUND(HLOOKUP(LEFT(D$1,4)&amp;"-"&amp;RIGHT(D$1,2),DATA!$D$1:$HT$52,MATCH($A51,DATA!$B:$B,0),FALSE)/HLOOKUP(LEFT(D$1,4)*1-1&amp;"-"&amp;RIGHT(D$1,2),DATA!$D$1:$HT$52,MATCH($A51,DATA!$B:$B,0),FALSE)-1,3),0)</f>
        <v>6.3E-2</v>
      </c>
      <c r="E51">
        <f>IFERROR(ROUND(HLOOKUP(LEFT(E$1,4)&amp;"-"&amp;RIGHT(E$1,2),DATA!$D$1:$HT$52,MATCH($A51,DATA!$B:$B,0),FALSE)/HLOOKUP(LEFT(E$1,4)*1-1&amp;"-"&amp;RIGHT(E$1,2),DATA!$D$1:$HT$52,MATCH($A51,DATA!$B:$B,0),FALSE)-1,3),0)</f>
        <v>7.0000000000000007E-2</v>
      </c>
      <c r="F51">
        <f>IFERROR(ROUND(HLOOKUP(LEFT(F$1,4)&amp;"-"&amp;RIGHT(F$1,2),DATA!$D$1:$HT$52,MATCH($A51,DATA!$B:$B,0),FALSE)/HLOOKUP(LEFT(F$1,4)*1-1&amp;"-"&amp;RIGHT(F$1,2),DATA!$D$1:$HT$52,MATCH($A51,DATA!$B:$B,0),FALSE)-1,3),0)</f>
        <v>-1.9E-2</v>
      </c>
      <c r="G51">
        <f>IFERROR(ROUND(HLOOKUP(LEFT(G$1,4)&amp;"-"&amp;RIGHT(G$1,2),DATA!$D$1:$HT$52,MATCH($A51,DATA!$B:$B,0),FALSE)/HLOOKUP(LEFT(G$1,4)*1-1&amp;"-"&amp;RIGHT(G$1,2),DATA!$D$1:$HT$52,MATCH($A51,DATA!$B:$B,0),FALSE)-1,3),0)</f>
        <v>1.9E-2</v>
      </c>
      <c r="H51">
        <f>IFERROR(ROUND(HLOOKUP(LEFT(H$1,4)&amp;"-"&amp;RIGHT(H$1,2),DATA!$D$1:$HT$52,MATCH($A51,DATA!$B:$B,0),FALSE)/HLOOKUP(LEFT(H$1,4)*1-1&amp;"-"&amp;RIGHT(H$1,2),DATA!$D$1:$HT$52,MATCH($A51,DATA!$B:$B,0),FALSE)-1,3),0)</f>
        <v>1E-3</v>
      </c>
      <c r="I51">
        <f>IFERROR(ROUND(HLOOKUP(LEFT(I$1,4)&amp;"-"&amp;RIGHT(I$1,2),DATA!$D$1:$HT$52,MATCH($A51,DATA!$B:$B,0),FALSE)/HLOOKUP(LEFT(I$1,4)*1-1&amp;"-"&amp;RIGHT(I$1,2),DATA!$D$1:$HT$52,MATCH($A51,DATA!$B:$B,0),FALSE)-1,3),0)</f>
        <v>-3.9E-2</v>
      </c>
      <c r="J51">
        <f>IFERROR(ROUND(HLOOKUP(LEFT(J$1,4)&amp;"-"&amp;RIGHT(J$1,2),DATA!$D$1:$HT$52,MATCH($A51,DATA!$B:$B,0),FALSE)/HLOOKUP(LEFT(J$1,4)*1-1&amp;"-"&amp;RIGHT(J$1,2),DATA!$D$1:$HT$52,MATCH($A51,DATA!$B:$B,0),FALSE)-1,3),0)</f>
        <v>-3.3000000000000002E-2</v>
      </c>
      <c r="K51">
        <f>IFERROR(ROUND(HLOOKUP(LEFT(K$1,4)&amp;"-"&amp;RIGHT(K$1,2),DATA!$D$1:$HT$52,MATCH($A51,DATA!$B:$B,0),FALSE)/HLOOKUP(LEFT(K$1,4)*1-1&amp;"-"&amp;RIGHT(K$1,2),DATA!$D$1:$HT$52,MATCH($A51,DATA!$B:$B,0),FALSE)-1,3),0)</f>
        <v>-3.6999999999999998E-2</v>
      </c>
      <c r="L51">
        <f>IFERROR(ROUND(HLOOKUP(LEFT(L$1,4)&amp;"-"&amp;RIGHT(L$1,2),DATA!$D$1:$HT$52,MATCH($A51,DATA!$B:$B,0),FALSE)/HLOOKUP(LEFT(L$1,4)*1-1&amp;"-"&amp;RIGHT(L$1,2),DATA!$D$1:$HT$52,MATCH($A51,DATA!$B:$B,0),FALSE)-1,3),0)</f>
        <v>-3.5000000000000003E-2</v>
      </c>
      <c r="M51">
        <f>IFERROR(ROUND(HLOOKUP(LEFT(M$1,4)&amp;"-"&amp;RIGHT(M$1,2),DATA!$D$1:$HT$52,MATCH($A51,DATA!$B:$B,0),FALSE)/HLOOKUP(LEFT(M$1,4)*1-1&amp;"-"&amp;RIGHT(M$1,2),DATA!$D$1:$HT$52,MATCH($A51,DATA!$B:$B,0),FALSE)-1,3),0)</f>
        <v>2E-3</v>
      </c>
      <c r="N51">
        <f>IFERROR(ROUND(HLOOKUP(LEFT(N$1,4)&amp;"-"&amp;RIGHT(N$1,2),DATA!$D$1:$HT$52,MATCH($A51,DATA!$B:$B,0),FALSE)/HLOOKUP(LEFT(N$1,4)*1-1&amp;"-"&amp;RIGHT(N$1,2),DATA!$D$1:$HT$52,MATCH($A51,DATA!$B:$B,0),FALSE)-1,3),0)</f>
        <v>4.2000000000000003E-2</v>
      </c>
      <c r="O51">
        <f>IFERROR(ROUND(HLOOKUP(LEFT(O$1,4)&amp;"-"&amp;RIGHT(O$1,2),DATA!$D$1:$HT$52,MATCH($A51,DATA!$B:$B,0),FALSE)/HLOOKUP(LEFT(O$1,4)*1-1&amp;"-"&amp;RIGHT(O$1,2),DATA!$D$1:$HT$52,MATCH($A51,DATA!$B:$B,0),FALSE)-1,3),0)</f>
        <v>1.4E-2</v>
      </c>
      <c r="P51">
        <f>IFERROR(ROUND(HLOOKUP(LEFT(P$1,4)&amp;"-"&amp;RIGHT(P$1,2),DATA!$D$1:$HT$52,MATCH($A51,DATA!$B:$B,0),FALSE)/HLOOKUP(LEFT(P$1,4)*1-1&amp;"-"&amp;RIGHT(P$1,2),DATA!$D$1:$HT$52,MATCH($A51,DATA!$B:$B,0),FALSE)-1,3),0)</f>
        <v>4.2000000000000003E-2</v>
      </c>
      <c r="Q51">
        <f>IFERROR(ROUND(HLOOKUP(LEFT(Q$1,4)&amp;"-"&amp;RIGHT(Q$1,2),DATA!$D$1:$HT$52,MATCH($A51,DATA!$B:$B,0),FALSE)/HLOOKUP(LEFT(Q$1,4)*1-1&amp;"-"&amp;RIGHT(Q$1,2),DATA!$D$1:$HT$52,MATCH($A51,DATA!$B:$B,0),FALSE)-1,3),0)</f>
        <v>6.0999999999999999E-2</v>
      </c>
      <c r="R51">
        <f>IFERROR(ROUND(HLOOKUP(LEFT(R$1,4)&amp;"-"&amp;RIGHT(R$1,2),DATA!$D$1:$HT$52,MATCH($A51,DATA!$B:$B,0),FALSE)/HLOOKUP(LEFT(R$1,4)*1-1&amp;"-"&amp;RIGHT(R$1,2),DATA!$D$1:$HT$52,MATCH($A51,DATA!$B:$B,0),FALSE)-1,3),0)</f>
        <v>6.6000000000000003E-2</v>
      </c>
    </row>
    <row r="52" spans="1:18" x14ac:dyDescent="0.3">
      <c r="A52" t="s">
        <v>278</v>
      </c>
      <c r="B52">
        <f>IFERROR(ROUND(HLOOKUP(LEFT(B$1,4)&amp;"-"&amp;RIGHT(B$1,2),DATA!$D$1:$HT$52,MATCH($A52,DATA!$B:$B,0),FALSE)/HLOOKUP(LEFT(B$1,4)*1-1&amp;"-"&amp;RIGHT(B$1,2),DATA!$D$1:$HT$52,MATCH($A52,DATA!$B:$B,0),FALSE)-1,3),0)</f>
        <v>7.1999999999999995E-2</v>
      </c>
      <c r="C52">
        <f>IFERROR(ROUND(HLOOKUP(LEFT(C$1,4)&amp;"-"&amp;RIGHT(C$1,2),DATA!$D$1:$HT$52,MATCH($A52,DATA!$B:$B,0),FALSE)/HLOOKUP(LEFT(C$1,4)*1-1&amp;"-"&amp;RIGHT(C$1,2),DATA!$D$1:$HT$52,MATCH($A52,DATA!$B:$B,0),FALSE)-1,3),0)</f>
        <v>7.0000000000000001E-3</v>
      </c>
      <c r="D52">
        <f>IFERROR(ROUND(HLOOKUP(LEFT(D$1,4)&amp;"-"&amp;RIGHT(D$1,2),DATA!$D$1:$HT$52,MATCH($A52,DATA!$B:$B,0),FALSE)/HLOOKUP(LEFT(D$1,4)*1-1&amp;"-"&amp;RIGHT(D$1,2),DATA!$D$1:$HT$52,MATCH($A52,DATA!$B:$B,0),FALSE)-1,3),0)</f>
        <v>7.3999999999999996E-2</v>
      </c>
      <c r="E52">
        <f>IFERROR(ROUND(HLOOKUP(LEFT(E$1,4)&amp;"-"&amp;RIGHT(E$1,2),DATA!$D$1:$HT$52,MATCH($A52,DATA!$B:$B,0),FALSE)/HLOOKUP(LEFT(E$1,4)*1-1&amp;"-"&amp;RIGHT(E$1,2),DATA!$D$1:$HT$52,MATCH($A52,DATA!$B:$B,0),FALSE)-1,3),0)</f>
        <v>7.9000000000000001E-2</v>
      </c>
      <c r="F52">
        <f>IFERROR(ROUND(HLOOKUP(LEFT(F$1,4)&amp;"-"&amp;RIGHT(F$1,2),DATA!$D$1:$HT$52,MATCH($A52,DATA!$B:$B,0),FALSE)/HLOOKUP(LEFT(F$1,4)*1-1&amp;"-"&amp;RIGHT(F$1,2),DATA!$D$1:$HT$52,MATCH($A52,DATA!$B:$B,0),FALSE)-1,3),0)</f>
        <v>-0.11600000000000001</v>
      </c>
      <c r="G52">
        <f>IFERROR(ROUND(HLOOKUP(LEFT(G$1,4)&amp;"-"&amp;RIGHT(G$1,2),DATA!$D$1:$HT$52,MATCH($A52,DATA!$B:$B,0),FALSE)/HLOOKUP(LEFT(G$1,4)*1-1&amp;"-"&amp;RIGHT(G$1,2),DATA!$D$1:$HT$52,MATCH($A52,DATA!$B:$B,0),FALSE)-1,3),0)</f>
        <v>0.108</v>
      </c>
      <c r="H52">
        <f>IFERROR(ROUND(HLOOKUP(LEFT(H$1,4)&amp;"-"&amp;RIGHT(H$1,2),DATA!$D$1:$HT$52,MATCH($A52,DATA!$B:$B,0),FALSE)/HLOOKUP(LEFT(H$1,4)*1-1&amp;"-"&amp;RIGHT(H$1,2),DATA!$D$1:$HT$52,MATCH($A52,DATA!$B:$B,0),FALSE)-1,3),0)</f>
        <v>5.8999999999999997E-2</v>
      </c>
      <c r="I52">
        <f>IFERROR(ROUND(HLOOKUP(LEFT(I$1,4)&amp;"-"&amp;RIGHT(I$1,2),DATA!$D$1:$HT$52,MATCH($A52,DATA!$B:$B,0),FALSE)/HLOOKUP(LEFT(I$1,4)*1-1&amp;"-"&amp;RIGHT(I$1,2),DATA!$D$1:$HT$52,MATCH($A52,DATA!$B:$B,0),FALSE)-1,3),0)</f>
        <v>-2E-3</v>
      </c>
      <c r="J52">
        <f>IFERROR(ROUND(HLOOKUP(LEFT(J$1,4)&amp;"-"&amp;RIGHT(J$1,2),DATA!$D$1:$HT$52,MATCH($A52,DATA!$B:$B,0),FALSE)/HLOOKUP(LEFT(J$1,4)*1-1&amp;"-"&amp;RIGHT(J$1,2),DATA!$D$1:$HT$52,MATCH($A52,DATA!$B:$B,0),FALSE)-1,3),0)</f>
        <v>-1.0999999999999999E-2</v>
      </c>
      <c r="K52">
        <f>IFERROR(ROUND(HLOOKUP(LEFT(K$1,4)&amp;"-"&amp;RIGHT(K$1,2),DATA!$D$1:$HT$52,MATCH($A52,DATA!$B:$B,0),FALSE)/HLOOKUP(LEFT(K$1,4)*1-1&amp;"-"&amp;RIGHT(K$1,2),DATA!$D$1:$HT$52,MATCH($A52,DATA!$B:$B,0),FALSE)-1,3),0)</f>
        <v>4.0000000000000001E-3</v>
      </c>
      <c r="L52">
        <f>IFERROR(ROUND(HLOOKUP(LEFT(L$1,4)&amp;"-"&amp;RIGHT(L$1,2),DATA!$D$1:$HT$52,MATCH($A52,DATA!$B:$B,0),FALSE)/HLOOKUP(LEFT(L$1,4)*1-1&amp;"-"&amp;RIGHT(L$1,2),DATA!$D$1:$HT$52,MATCH($A52,DATA!$B:$B,0),FALSE)-1,3),0)</f>
        <v>1E-3</v>
      </c>
      <c r="M52">
        <f>IFERROR(ROUND(HLOOKUP(LEFT(M$1,4)&amp;"-"&amp;RIGHT(M$1,2),DATA!$D$1:$HT$52,MATCH($A52,DATA!$B:$B,0),FALSE)/HLOOKUP(LEFT(M$1,4)*1-1&amp;"-"&amp;RIGHT(M$1,2),DATA!$D$1:$HT$52,MATCH($A52,DATA!$B:$B,0),FALSE)-1,3),0)</f>
        <v>2.5000000000000001E-2</v>
      </c>
      <c r="N52">
        <f>IFERROR(ROUND(HLOOKUP(LEFT(N$1,4)&amp;"-"&amp;RIGHT(N$1,2),DATA!$D$1:$HT$52,MATCH($A52,DATA!$B:$B,0),FALSE)/HLOOKUP(LEFT(N$1,4)*1-1&amp;"-"&amp;RIGHT(N$1,2),DATA!$D$1:$HT$52,MATCH($A52,DATA!$B:$B,0),FALSE)-1,3),0)</f>
        <v>0.02</v>
      </c>
      <c r="O52">
        <f>IFERROR(ROUND(HLOOKUP(LEFT(O$1,4)&amp;"-"&amp;RIGHT(O$1,2),DATA!$D$1:$HT$52,MATCH($A52,DATA!$B:$B,0),FALSE)/HLOOKUP(LEFT(O$1,4)*1-1&amp;"-"&amp;RIGHT(O$1,2),DATA!$D$1:$HT$52,MATCH($A52,DATA!$B:$B,0),FALSE)-1,3),0)</f>
        <v>2.5999999999999999E-2</v>
      </c>
      <c r="P52">
        <f>IFERROR(ROUND(HLOOKUP(LEFT(P$1,4)&amp;"-"&amp;RIGHT(P$1,2),DATA!$D$1:$HT$52,MATCH($A52,DATA!$B:$B,0),FALSE)/HLOOKUP(LEFT(P$1,4)*1-1&amp;"-"&amp;RIGHT(P$1,2),DATA!$D$1:$HT$52,MATCH($A52,DATA!$B:$B,0),FALSE)-1,3),0)</f>
        <v>4.8000000000000001E-2</v>
      </c>
      <c r="Q52">
        <f>IFERROR(ROUND(HLOOKUP(LEFT(Q$1,4)&amp;"-"&amp;RIGHT(Q$1,2),DATA!$D$1:$HT$52,MATCH($A52,DATA!$B:$B,0),FALSE)/HLOOKUP(LEFT(Q$1,4)*1-1&amp;"-"&amp;RIGHT(Q$1,2),DATA!$D$1:$HT$52,MATCH($A52,DATA!$B:$B,0),FALSE)-1,3),0)</f>
        <v>2.4E-2</v>
      </c>
      <c r="R52">
        <f>IFERROR(ROUND(HLOOKUP(LEFT(R$1,4)&amp;"-"&amp;RIGHT(R$1,2),DATA!$D$1:$HT$52,MATCH($A52,DATA!$B:$B,0),FALSE)/HLOOKUP(LEFT(R$1,4)*1-1&amp;"-"&amp;RIGHT(R$1,2),DATA!$D$1:$HT$52,MATCH($A52,DATA!$B:$B,0),FALSE)-1,3),0)</f>
        <v>1.7000000000000001E-2</v>
      </c>
    </row>
  </sheetData>
  <autoFilter ref="A1:R1" xr:uid="{00000000-0009-0000-0000-000001000000}">
    <sortState xmlns:xlrd2="http://schemas.microsoft.com/office/spreadsheetml/2017/richdata2" ref="A2:R52">
      <sortCondition ref="A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52"/>
  <sheetViews>
    <sheetView workbookViewId="0"/>
  </sheetViews>
  <sheetFormatPr defaultRowHeight="14.4" x14ac:dyDescent="0.3"/>
  <sheetData>
    <row r="1" spans="1:18" x14ac:dyDescent="0.3">
      <c r="A1" t="s">
        <v>1</v>
      </c>
      <c r="B1">
        <v>200112</v>
      </c>
      <c r="C1">
        <v>200212</v>
      </c>
      <c r="D1">
        <v>200312</v>
      </c>
      <c r="E1">
        <v>200412</v>
      </c>
      <c r="F1">
        <v>200512</v>
      </c>
      <c r="G1">
        <v>200612</v>
      </c>
      <c r="H1">
        <v>200712</v>
      </c>
      <c r="I1">
        <v>200812</v>
      </c>
      <c r="J1">
        <v>200912</v>
      </c>
      <c r="K1">
        <v>201012</v>
      </c>
      <c r="L1">
        <v>201112</v>
      </c>
      <c r="M1">
        <v>201212</v>
      </c>
      <c r="N1">
        <v>201312</v>
      </c>
      <c r="O1">
        <v>201412</v>
      </c>
      <c r="P1">
        <v>201512</v>
      </c>
      <c r="Q1">
        <v>201612</v>
      </c>
      <c r="R1">
        <v>201712</v>
      </c>
    </row>
    <row r="2" spans="1:18" x14ac:dyDescent="0.3">
      <c r="A2" t="s">
        <v>250</v>
      </c>
      <c r="B2">
        <f>IFERROR(HLOOKUP(LEFT(B$1,4)&amp;"-"&amp;RIGHT(B$1,2),DATA!$D$1:$HT$52,MATCH($A2,DATA!$B:$B,0),FALSE),0)</f>
        <v>91800</v>
      </c>
      <c r="C2">
        <f>IFERROR(HLOOKUP(LEFT(C$1,4)&amp;"-"&amp;RIGHT(C$1,2),DATA!$D$1:$HT$52,MATCH($A2,DATA!$B:$B,0),FALSE),0)</f>
        <v>94800</v>
      </c>
      <c r="D2">
        <f>IFERROR(HLOOKUP(LEFT(D$1,4)&amp;"-"&amp;RIGHT(D$1,2),DATA!$D$1:$HT$52,MATCH($A2,DATA!$B:$B,0),FALSE),0)</f>
        <v>98800</v>
      </c>
      <c r="E2">
        <f>IFERROR(HLOOKUP(LEFT(E$1,4)&amp;"-"&amp;RIGHT(E$1,2),DATA!$D$1:$HT$52,MATCH($A2,DATA!$B:$B,0),FALSE),0)</f>
        <v>103900</v>
      </c>
      <c r="F2">
        <f>IFERROR(HLOOKUP(LEFT(F$1,4)&amp;"-"&amp;RIGHT(F$1,2),DATA!$D$1:$HT$52,MATCH($A2,DATA!$B:$B,0),FALSE),0)</f>
        <v>98400</v>
      </c>
      <c r="G2">
        <f>IFERROR(HLOOKUP(LEFT(G$1,4)&amp;"-"&amp;RIGHT(G$1,2),DATA!$D$1:$HT$52,MATCH($A2,DATA!$B:$B,0),FALSE),0)</f>
        <v>111900</v>
      </c>
      <c r="H2">
        <f>IFERROR(HLOOKUP(LEFT(H$1,4)&amp;"-"&amp;RIGHT(H$1,2),DATA!$D$1:$HT$52,MATCH($A2,DATA!$B:$B,0),FALSE),0)</f>
        <v>112100</v>
      </c>
      <c r="I2">
        <f>IFERROR(HLOOKUP(LEFT(I$1,4)&amp;"-"&amp;RIGHT(I$1,2),DATA!$D$1:$HT$52,MATCH($A2,DATA!$B:$B,0),FALSE),0)</f>
        <v>108700</v>
      </c>
      <c r="J2">
        <f>IFERROR(HLOOKUP(LEFT(J$1,4)&amp;"-"&amp;RIGHT(J$1,2),DATA!$D$1:$HT$52,MATCH($A2,DATA!$B:$B,0),FALSE),0)</f>
        <v>103600</v>
      </c>
      <c r="K2">
        <f>IFERROR(HLOOKUP(LEFT(K$1,4)&amp;"-"&amp;RIGHT(K$1,2),DATA!$D$1:$HT$52,MATCH($A2,DATA!$B:$B,0),FALSE),0)</f>
        <v>99300</v>
      </c>
      <c r="L2">
        <f>IFERROR(HLOOKUP(LEFT(L$1,4)&amp;"-"&amp;RIGHT(L$1,2),DATA!$D$1:$HT$52,MATCH($A2,DATA!$B:$B,0),FALSE),0)</f>
        <v>95200</v>
      </c>
      <c r="M2">
        <f>IFERROR(HLOOKUP(LEFT(M$1,4)&amp;"-"&amp;RIGHT(M$1,2),DATA!$D$1:$HT$52,MATCH($A2,DATA!$B:$B,0),FALSE),0)</f>
        <v>101200</v>
      </c>
      <c r="N2">
        <f>IFERROR(HLOOKUP(LEFT(N$1,4)&amp;"-"&amp;RIGHT(N$1,2),DATA!$D$1:$HT$52,MATCH($A2,DATA!$B:$B,0),FALSE),0)</f>
        <v>109400</v>
      </c>
      <c r="O2">
        <f>IFERROR(HLOOKUP(LEFT(O$1,4)&amp;"-"&amp;RIGHT(O$1,2),DATA!$D$1:$HT$52,MATCH($A2,DATA!$B:$B,0),FALSE),0)</f>
        <v>112700</v>
      </c>
      <c r="P2">
        <f>IFERROR(HLOOKUP(LEFT(P$1,4)&amp;"-"&amp;RIGHT(P$1,2),DATA!$D$1:$HT$52,MATCH($A2,DATA!$B:$B,0),FALSE),0)</f>
        <v>114800</v>
      </c>
      <c r="Q2">
        <f>IFERROR(HLOOKUP(LEFT(Q$1,4)&amp;"-"&amp;RIGHT(Q$1,2),DATA!$D$1:$HT$52,MATCH($A2,DATA!$B:$B,0),FALSE),0)</f>
        <v>118400</v>
      </c>
      <c r="R2">
        <f>IFERROR(HLOOKUP(LEFT(R$1,4)&amp;"-"&amp;RIGHT(R$1,2),DATA!$D$1:$HT$52,MATCH($A2,DATA!$B:$B,0),FALSE),0)</f>
        <v>121400</v>
      </c>
    </row>
    <row r="3" spans="1:18" x14ac:dyDescent="0.3">
      <c r="A3" t="s">
        <v>274</v>
      </c>
      <c r="B3">
        <f>IFERROR(HLOOKUP(LEFT(B$1,4)&amp;"-"&amp;RIGHT(B$1,2),DATA!$D$1:$HT$52,MATCH($A3,DATA!$B:$B,0),FALSE),0)</f>
        <v>183900</v>
      </c>
      <c r="C3">
        <f>IFERROR(HLOOKUP(LEFT(C$1,4)&amp;"-"&amp;RIGHT(C$1,2),DATA!$D$1:$HT$52,MATCH($A3,DATA!$B:$B,0),FALSE),0)</f>
        <v>191400</v>
      </c>
      <c r="D3">
        <f>IFERROR(HLOOKUP(LEFT(D$1,4)&amp;"-"&amp;RIGHT(D$1,2),DATA!$D$1:$HT$52,MATCH($A3,DATA!$B:$B,0),FALSE),0)</f>
        <v>205400</v>
      </c>
      <c r="E3">
        <f>IFERROR(HLOOKUP(LEFT(E$1,4)&amp;"-"&amp;RIGHT(E$1,2),DATA!$D$1:$HT$52,MATCH($A3,DATA!$B:$B,0),FALSE),0)</f>
        <v>221600</v>
      </c>
      <c r="F3">
        <f>IFERROR(HLOOKUP(LEFT(F$1,4)&amp;"-"&amp;RIGHT(F$1,2),DATA!$D$1:$HT$52,MATCH($A3,DATA!$B:$B,0),FALSE),0)</f>
        <v>246200</v>
      </c>
      <c r="G3">
        <f>IFERROR(HLOOKUP(LEFT(G$1,4)&amp;"-"&amp;RIGHT(G$1,2),DATA!$D$1:$HT$52,MATCH($A3,DATA!$B:$B,0),FALSE),0)</f>
        <v>265500</v>
      </c>
      <c r="H3">
        <f>IFERROR(HLOOKUP(LEFT(H$1,4)&amp;"-"&amp;RIGHT(H$1,2),DATA!$D$1:$HT$52,MATCH($A3,DATA!$B:$B,0),FALSE),0)</f>
        <v>273100</v>
      </c>
      <c r="I3">
        <f>IFERROR(HLOOKUP(LEFT(I$1,4)&amp;"-"&amp;RIGHT(I$1,2),DATA!$D$1:$HT$52,MATCH($A3,DATA!$B:$B,0),FALSE),0)</f>
        <v>274000</v>
      </c>
      <c r="J3">
        <f>IFERROR(HLOOKUP(LEFT(J$1,4)&amp;"-"&amp;RIGHT(J$1,2),DATA!$D$1:$HT$52,MATCH($A3,DATA!$B:$B,0),FALSE),0)</f>
        <v>276200</v>
      </c>
      <c r="K3">
        <f>IFERROR(HLOOKUP(LEFT(K$1,4)&amp;"-"&amp;RIGHT(K$1,2),DATA!$D$1:$HT$52,MATCH($A3,DATA!$B:$B,0),FALSE),0)</f>
        <v>278800</v>
      </c>
      <c r="L3">
        <f>IFERROR(HLOOKUP(LEFT(L$1,4)&amp;"-"&amp;RIGHT(L$1,2),DATA!$D$1:$HT$52,MATCH($A3,DATA!$B:$B,0),FALSE),0)</f>
        <v>277800</v>
      </c>
      <c r="M3">
        <f>IFERROR(HLOOKUP(LEFT(M$1,4)&amp;"-"&amp;RIGHT(M$1,2),DATA!$D$1:$HT$52,MATCH($A3,DATA!$B:$B,0),FALSE),0)</f>
        <v>278800</v>
      </c>
      <c r="N3">
        <f>IFERROR(HLOOKUP(LEFT(N$1,4)&amp;"-"&amp;RIGHT(N$1,2),DATA!$D$1:$HT$52,MATCH($A3,DATA!$B:$B,0),FALSE),0)</f>
        <v>284800</v>
      </c>
      <c r="O3">
        <f>IFERROR(HLOOKUP(LEFT(O$1,4)&amp;"-"&amp;RIGHT(O$1,2),DATA!$D$1:$HT$52,MATCH($A3,DATA!$B:$B,0),FALSE),0)</f>
        <v>294800</v>
      </c>
      <c r="P3">
        <f>IFERROR(HLOOKUP(LEFT(P$1,4)&amp;"-"&amp;RIGHT(P$1,2),DATA!$D$1:$HT$52,MATCH($A3,DATA!$B:$B,0),FALSE),0)</f>
        <v>300000</v>
      </c>
      <c r="Q3">
        <f>IFERROR(HLOOKUP(LEFT(Q$1,4)&amp;"-"&amp;RIGHT(Q$1,2),DATA!$D$1:$HT$52,MATCH($A3,DATA!$B:$B,0),FALSE),0)</f>
        <v>303900</v>
      </c>
      <c r="R3">
        <f>IFERROR(HLOOKUP(LEFT(R$1,4)&amp;"-"&amp;RIGHT(R$1,2),DATA!$D$1:$HT$52,MATCH($A3,DATA!$B:$B,0),FALSE),0)</f>
        <v>308400</v>
      </c>
    </row>
    <row r="4" spans="1:18" x14ac:dyDescent="0.3">
      <c r="A4" t="s">
        <v>243</v>
      </c>
      <c r="B4">
        <f>IFERROR(HLOOKUP(LEFT(B$1,4)&amp;"-"&amp;RIGHT(B$1,2),DATA!$D$1:$HT$52,MATCH($A4,DATA!$B:$B,0),FALSE),0)</f>
        <v>136600</v>
      </c>
      <c r="C4">
        <f>IFERROR(HLOOKUP(LEFT(C$1,4)&amp;"-"&amp;RIGHT(C$1,2),DATA!$D$1:$HT$52,MATCH($A4,DATA!$B:$B,0),FALSE),0)</f>
        <v>144900</v>
      </c>
      <c r="D4">
        <f>IFERROR(HLOOKUP(LEFT(D$1,4)&amp;"-"&amp;RIGHT(D$1,2),DATA!$D$1:$HT$52,MATCH($A4,DATA!$B:$B,0),FALSE),0)</f>
        <v>154200</v>
      </c>
      <c r="E4">
        <f>IFERROR(HLOOKUP(LEFT(E$1,4)&amp;"-"&amp;RIGHT(E$1,2),DATA!$D$1:$HT$52,MATCH($A4,DATA!$B:$B,0),FALSE),0)</f>
        <v>184500</v>
      </c>
      <c r="F4">
        <f>IFERROR(HLOOKUP(LEFT(F$1,4)&amp;"-"&amp;RIGHT(F$1,2),DATA!$D$1:$HT$52,MATCH($A4,DATA!$B:$B,0),FALSE),0)</f>
        <v>258400</v>
      </c>
      <c r="G4">
        <f>IFERROR(HLOOKUP(LEFT(G$1,4)&amp;"-"&amp;RIGHT(G$1,2),DATA!$D$1:$HT$52,MATCH($A4,DATA!$B:$B,0),FALSE),0)</f>
        <v>259400</v>
      </c>
      <c r="H4">
        <f>IFERROR(HLOOKUP(LEFT(H$1,4)&amp;"-"&amp;RIGHT(H$1,2),DATA!$D$1:$HT$52,MATCH($A4,DATA!$B:$B,0),FALSE),0)</f>
        <v>231700</v>
      </c>
      <c r="I4">
        <f>IFERROR(HLOOKUP(LEFT(I$1,4)&amp;"-"&amp;RIGHT(I$1,2),DATA!$D$1:$HT$52,MATCH($A4,DATA!$B:$B,0),FALSE),0)</f>
        <v>187600</v>
      </c>
      <c r="J4">
        <f>IFERROR(HLOOKUP(LEFT(J$1,4)&amp;"-"&amp;RIGHT(J$1,2),DATA!$D$1:$HT$52,MATCH($A4,DATA!$B:$B,0),FALSE),0)</f>
        <v>157500</v>
      </c>
      <c r="K4">
        <f>IFERROR(HLOOKUP(LEFT(K$1,4)&amp;"-"&amp;RIGHT(K$1,2),DATA!$D$1:$HT$52,MATCH($A4,DATA!$B:$B,0),FALSE),0)</f>
        <v>141500</v>
      </c>
      <c r="L4">
        <f>IFERROR(HLOOKUP(LEFT(L$1,4)&amp;"-"&amp;RIGHT(L$1,2),DATA!$D$1:$HT$52,MATCH($A4,DATA!$B:$B,0),FALSE),0)</f>
        <v>133100</v>
      </c>
      <c r="M4">
        <f>IFERROR(HLOOKUP(LEFT(M$1,4)&amp;"-"&amp;RIGHT(M$1,2),DATA!$D$1:$HT$52,MATCH($A4,DATA!$B:$B,0),FALSE),0)</f>
        <v>155000</v>
      </c>
      <c r="N4">
        <f>IFERROR(HLOOKUP(LEFT(N$1,4)&amp;"-"&amp;RIGHT(N$1,2),DATA!$D$1:$HT$52,MATCH($A4,DATA!$B:$B,0),FALSE),0)</f>
        <v>176000</v>
      </c>
      <c r="O4">
        <f>IFERROR(HLOOKUP(LEFT(O$1,4)&amp;"-"&amp;RIGHT(O$1,2),DATA!$D$1:$HT$52,MATCH($A4,DATA!$B:$B,0),FALSE),0)</f>
        <v>183700</v>
      </c>
      <c r="P4">
        <f>IFERROR(HLOOKUP(LEFT(P$1,4)&amp;"-"&amp;RIGHT(P$1,2),DATA!$D$1:$HT$52,MATCH($A4,DATA!$B:$B,0),FALSE),0)</f>
        <v>198000</v>
      </c>
      <c r="Q4">
        <f>IFERROR(HLOOKUP(LEFT(Q$1,4)&amp;"-"&amp;RIGHT(Q$1,2),DATA!$D$1:$HT$52,MATCH($A4,DATA!$B:$B,0),FALSE),0)</f>
        <v>215300</v>
      </c>
      <c r="R4">
        <f>IFERROR(HLOOKUP(LEFT(R$1,4)&amp;"-"&amp;RIGHT(R$1,2),DATA!$D$1:$HT$52,MATCH($A4,DATA!$B:$B,0),FALSE),0)</f>
        <v>230900</v>
      </c>
    </row>
    <row r="5" spans="1:18" x14ac:dyDescent="0.3">
      <c r="A5" t="s">
        <v>259</v>
      </c>
      <c r="B5">
        <f>IFERROR(HLOOKUP(LEFT(B$1,4)&amp;"-"&amp;RIGHT(B$1,2),DATA!$D$1:$HT$52,MATCH($A5,DATA!$B:$B,0),FALSE),0)</f>
        <v>74800</v>
      </c>
      <c r="C5">
        <f>IFERROR(HLOOKUP(LEFT(C$1,4)&amp;"-"&amp;RIGHT(C$1,2),DATA!$D$1:$HT$52,MATCH($A5,DATA!$B:$B,0),FALSE),0)</f>
        <v>79100</v>
      </c>
      <c r="D5">
        <f>IFERROR(HLOOKUP(LEFT(D$1,4)&amp;"-"&amp;RIGHT(D$1,2),DATA!$D$1:$HT$52,MATCH($A5,DATA!$B:$B,0),FALSE),0)</f>
        <v>81800</v>
      </c>
      <c r="E5">
        <f>IFERROR(HLOOKUP(LEFT(E$1,4)&amp;"-"&amp;RIGHT(E$1,2),DATA!$D$1:$HT$52,MATCH($A5,DATA!$B:$B,0),FALSE),0)</f>
        <v>87900</v>
      </c>
      <c r="F5">
        <f>IFERROR(HLOOKUP(LEFT(F$1,4)&amp;"-"&amp;RIGHT(F$1,2),DATA!$D$1:$HT$52,MATCH($A5,DATA!$B:$B,0),FALSE),0)</f>
        <v>96400</v>
      </c>
      <c r="G5">
        <f>IFERROR(HLOOKUP(LEFT(G$1,4)&amp;"-"&amp;RIGHT(G$1,2),DATA!$D$1:$HT$52,MATCH($A5,DATA!$B:$B,0),FALSE),0)</f>
        <v>102400</v>
      </c>
      <c r="H5">
        <f>IFERROR(HLOOKUP(LEFT(H$1,4)&amp;"-"&amp;RIGHT(H$1,2),DATA!$D$1:$HT$52,MATCH($A5,DATA!$B:$B,0),FALSE),0)</f>
        <v>102800</v>
      </c>
      <c r="I5">
        <f>IFERROR(HLOOKUP(LEFT(I$1,4)&amp;"-"&amp;RIGHT(I$1,2),DATA!$D$1:$HT$52,MATCH($A5,DATA!$B:$B,0),FALSE),0)</f>
        <v>100000</v>
      </c>
      <c r="J5">
        <f>IFERROR(HLOOKUP(LEFT(J$1,4)&amp;"-"&amp;RIGHT(J$1,2),DATA!$D$1:$HT$52,MATCH($A5,DATA!$B:$B,0),FALSE),0)</f>
        <v>98100</v>
      </c>
      <c r="K5">
        <f>IFERROR(HLOOKUP(LEFT(K$1,4)&amp;"-"&amp;RIGHT(K$1,2),DATA!$D$1:$HT$52,MATCH($A5,DATA!$B:$B,0),FALSE),0)</f>
        <v>96000</v>
      </c>
      <c r="L5">
        <f>IFERROR(HLOOKUP(LEFT(L$1,4)&amp;"-"&amp;RIGHT(L$1,2),DATA!$D$1:$HT$52,MATCH($A5,DATA!$B:$B,0),FALSE),0)</f>
        <v>94000</v>
      </c>
      <c r="M5">
        <f>IFERROR(HLOOKUP(LEFT(M$1,4)&amp;"-"&amp;RIGHT(M$1,2),DATA!$D$1:$HT$52,MATCH($A5,DATA!$B:$B,0),FALSE),0)</f>
        <v>94900</v>
      </c>
      <c r="N5">
        <f>IFERROR(HLOOKUP(LEFT(N$1,4)&amp;"-"&amp;RIGHT(N$1,2),DATA!$D$1:$HT$52,MATCH($A5,DATA!$B:$B,0),FALSE),0)</f>
        <v>98700</v>
      </c>
      <c r="O5">
        <f>IFERROR(HLOOKUP(LEFT(O$1,4)&amp;"-"&amp;RIGHT(O$1,2),DATA!$D$1:$HT$52,MATCH($A5,DATA!$B:$B,0),FALSE),0)</f>
        <v>101500</v>
      </c>
      <c r="P5">
        <f>IFERROR(HLOOKUP(LEFT(P$1,4)&amp;"-"&amp;RIGHT(P$1,2),DATA!$D$1:$HT$52,MATCH($A5,DATA!$B:$B,0),FALSE),0)</f>
        <v>106000</v>
      </c>
      <c r="Q5">
        <f>IFERROR(HLOOKUP(LEFT(Q$1,4)&amp;"-"&amp;RIGHT(Q$1,2),DATA!$D$1:$HT$52,MATCH($A5,DATA!$B:$B,0),FALSE),0)</f>
        <v>112900</v>
      </c>
      <c r="R5">
        <f>IFERROR(HLOOKUP(LEFT(R$1,4)&amp;"-"&amp;RIGHT(R$1,2),DATA!$D$1:$HT$52,MATCH($A5,DATA!$B:$B,0),FALSE),0)</f>
        <v>116900</v>
      </c>
    </row>
    <row r="6" spans="1:18" x14ac:dyDescent="0.3">
      <c r="A6" t="s">
        <v>228</v>
      </c>
      <c r="B6">
        <f>IFERROR(HLOOKUP(LEFT(B$1,4)&amp;"-"&amp;RIGHT(B$1,2),DATA!$D$1:$HT$52,MATCH($A6,DATA!$B:$B,0),FALSE),0)</f>
        <v>262400</v>
      </c>
      <c r="C6">
        <f>IFERROR(HLOOKUP(LEFT(C$1,4)&amp;"-"&amp;RIGHT(C$1,2),DATA!$D$1:$HT$52,MATCH($A6,DATA!$B:$B,0),FALSE),0)</f>
        <v>305100</v>
      </c>
      <c r="D6">
        <f>IFERROR(HLOOKUP(LEFT(D$1,4)&amp;"-"&amp;RIGHT(D$1,2),DATA!$D$1:$HT$52,MATCH($A6,DATA!$B:$B,0),FALSE),0)</f>
        <v>366700</v>
      </c>
      <c r="E6">
        <f>IFERROR(HLOOKUP(LEFT(E$1,4)&amp;"-"&amp;RIGHT(E$1,2),DATA!$D$1:$HT$52,MATCH($A6,DATA!$B:$B,0),FALSE),0)</f>
        <v>464700</v>
      </c>
      <c r="F6">
        <f>IFERROR(HLOOKUP(LEFT(F$1,4)&amp;"-"&amp;RIGHT(F$1,2),DATA!$D$1:$HT$52,MATCH($A6,DATA!$B:$B,0),FALSE),0)</f>
        <v>528800</v>
      </c>
      <c r="G6">
        <f>IFERROR(HLOOKUP(LEFT(G$1,4)&amp;"-"&amp;RIGHT(G$1,2),DATA!$D$1:$HT$52,MATCH($A6,DATA!$B:$B,0),FALSE),0)</f>
        <v>526900</v>
      </c>
      <c r="H6">
        <f>IFERROR(HLOOKUP(LEFT(H$1,4)&amp;"-"&amp;RIGHT(H$1,2),DATA!$D$1:$HT$52,MATCH($A6,DATA!$B:$B,0),FALSE),0)</f>
        <v>466700</v>
      </c>
      <c r="I6">
        <f>IFERROR(HLOOKUP(LEFT(I$1,4)&amp;"-"&amp;RIGHT(I$1,2),DATA!$D$1:$HT$52,MATCH($A6,DATA!$B:$B,0),FALSE),0)</f>
        <v>369800</v>
      </c>
      <c r="J6">
        <f>IFERROR(HLOOKUP(LEFT(J$1,4)&amp;"-"&amp;RIGHT(J$1,2),DATA!$D$1:$HT$52,MATCH($A6,DATA!$B:$B,0),FALSE),0)</f>
        <v>334200</v>
      </c>
      <c r="K6">
        <f>IFERROR(HLOOKUP(LEFT(K$1,4)&amp;"-"&amp;RIGHT(K$1,2),DATA!$D$1:$HT$52,MATCH($A6,DATA!$B:$B,0),FALSE),0)</f>
        <v>323800</v>
      </c>
      <c r="L6">
        <f>IFERROR(HLOOKUP(LEFT(L$1,4)&amp;"-"&amp;RIGHT(L$1,2),DATA!$D$1:$HT$52,MATCH($A6,DATA!$B:$B,0),FALSE),0)</f>
        <v>301400</v>
      </c>
      <c r="M6">
        <f>IFERROR(HLOOKUP(LEFT(M$1,4)&amp;"-"&amp;RIGHT(M$1,2),DATA!$D$1:$HT$52,MATCH($A6,DATA!$B:$B,0),FALSE),0)</f>
        <v>326700</v>
      </c>
      <c r="N6">
        <f>IFERROR(HLOOKUP(LEFT(N$1,4)&amp;"-"&amp;RIGHT(N$1,2),DATA!$D$1:$HT$52,MATCH($A6,DATA!$B:$B,0),FALSE),0)</f>
        <v>390500</v>
      </c>
      <c r="O6">
        <f>IFERROR(HLOOKUP(LEFT(O$1,4)&amp;"-"&amp;RIGHT(O$1,2),DATA!$D$1:$HT$52,MATCH($A6,DATA!$B:$B,0),FALSE),0)</f>
        <v>418800</v>
      </c>
      <c r="P6">
        <f>IFERROR(HLOOKUP(LEFT(P$1,4)&amp;"-"&amp;RIGHT(P$1,2),DATA!$D$1:$HT$52,MATCH($A6,DATA!$B:$B,0),FALSE),0)</f>
        <v>449700</v>
      </c>
      <c r="Q6">
        <f>IFERROR(HLOOKUP(LEFT(Q$1,4)&amp;"-"&amp;RIGHT(Q$1,2),DATA!$D$1:$HT$52,MATCH($A6,DATA!$B:$B,0),FALSE),0)</f>
        <v>483800</v>
      </c>
      <c r="R6">
        <f>IFERROR(HLOOKUP(LEFT(R$1,4)&amp;"-"&amp;RIGHT(R$1,2),DATA!$D$1:$HT$52,MATCH($A6,DATA!$B:$B,0),FALSE),0)</f>
        <v>521800</v>
      </c>
    </row>
    <row r="7" spans="1:18" x14ac:dyDescent="0.3">
      <c r="A7" t="s">
        <v>249</v>
      </c>
      <c r="B7">
        <f>IFERROR(HLOOKUP(LEFT(B$1,4)&amp;"-"&amp;RIGHT(B$1,2),DATA!$D$1:$HT$52,MATCH($A7,DATA!$B:$B,0),FALSE),0)</f>
        <v>199800</v>
      </c>
      <c r="C7">
        <f>IFERROR(HLOOKUP(LEFT(C$1,4)&amp;"-"&amp;RIGHT(C$1,2),DATA!$D$1:$HT$52,MATCH($A7,DATA!$B:$B,0),FALSE),0)</f>
        <v>206800</v>
      </c>
      <c r="D7">
        <f>IFERROR(HLOOKUP(LEFT(D$1,4)&amp;"-"&amp;RIGHT(D$1,2),DATA!$D$1:$HT$52,MATCH($A7,DATA!$B:$B,0),FALSE),0)</f>
        <v>212500</v>
      </c>
      <c r="E7">
        <f>IFERROR(HLOOKUP(LEFT(E$1,4)&amp;"-"&amp;RIGHT(E$1,2),DATA!$D$1:$HT$52,MATCH($A7,DATA!$B:$B,0),FALSE),0)</f>
        <v>219400</v>
      </c>
      <c r="F7">
        <f>IFERROR(HLOOKUP(LEFT(F$1,4)&amp;"-"&amp;RIGHT(F$1,2),DATA!$D$1:$HT$52,MATCH($A7,DATA!$B:$B,0),FALSE),0)</f>
        <v>227400</v>
      </c>
      <c r="G7">
        <f>IFERROR(HLOOKUP(LEFT(G$1,4)&amp;"-"&amp;RIGHT(G$1,2),DATA!$D$1:$HT$52,MATCH($A7,DATA!$B:$B,0),FALSE),0)</f>
        <v>231900</v>
      </c>
      <c r="H7">
        <f>IFERROR(HLOOKUP(LEFT(H$1,4)&amp;"-"&amp;RIGHT(H$1,2),DATA!$D$1:$HT$52,MATCH($A7,DATA!$B:$B,0),FALSE),0)</f>
        <v>228700</v>
      </c>
      <c r="I7">
        <f>IFERROR(HLOOKUP(LEFT(I$1,4)&amp;"-"&amp;RIGHT(I$1,2),DATA!$D$1:$HT$52,MATCH($A7,DATA!$B:$B,0),FALSE),0)</f>
        <v>220200</v>
      </c>
      <c r="J7">
        <f>IFERROR(HLOOKUP(LEFT(J$1,4)&amp;"-"&amp;RIGHT(J$1,2),DATA!$D$1:$HT$52,MATCH($A7,DATA!$B:$B,0),FALSE),0)</f>
        <v>216400</v>
      </c>
      <c r="K7">
        <f>IFERROR(HLOOKUP(LEFT(K$1,4)&amp;"-"&amp;RIGHT(K$1,2),DATA!$D$1:$HT$52,MATCH($A7,DATA!$B:$B,0),FALSE),0)</f>
        <v>209500</v>
      </c>
      <c r="L7">
        <f>IFERROR(HLOOKUP(LEFT(L$1,4)&amp;"-"&amp;RIGHT(L$1,2),DATA!$D$1:$HT$52,MATCH($A7,DATA!$B:$B,0),FALSE),0)</f>
        <v>206000</v>
      </c>
      <c r="M7">
        <f>IFERROR(HLOOKUP(LEFT(M$1,4)&amp;"-"&amp;RIGHT(M$1,2),DATA!$D$1:$HT$52,MATCH($A7,DATA!$B:$B,0),FALSE),0)</f>
        <v>219000</v>
      </c>
      <c r="N7">
        <f>IFERROR(HLOOKUP(LEFT(N$1,4)&amp;"-"&amp;RIGHT(N$1,2),DATA!$D$1:$HT$52,MATCH($A7,DATA!$B:$B,0),FALSE),0)</f>
        <v>236700</v>
      </c>
      <c r="O7">
        <f>IFERROR(HLOOKUP(LEFT(O$1,4)&amp;"-"&amp;RIGHT(O$1,2),DATA!$D$1:$HT$52,MATCH($A7,DATA!$B:$B,0),FALSE),0)</f>
        <v>258500</v>
      </c>
      <c r="P7">
        <f>IFERROR(HLOOKUP(LEFT(P$1,4)&amp;"-"&amp;RIGHT(P$1,2),DATA!$D$1:$HT$52,MATCH($A7,DATA!$B:$B,0),FALSE),0)</f>
        <v>293500</v>
      </c>
      <c r="Q7">
        <f>IFERROR(HLOOKUP(LEFT(Q$1,4)&amp;"-"&amp;RIGHT(Q$1,2),DATA!$D$1:$HT$52,MATCH($A7,DATA!$B:$B,0),FALSE),0)</f>
        <v>324700</v>
      </c>
      <c r="R7">
        <f>IFERROR(HLOOKUP(LEFT(R$1,4)&amp;"-"&amp;RIGHT(R$1,2),DATA!$D$1:$HT$52,MATCH($A7,DATA!$B:$B,0),FALSE),0)</f>
        <v>350800</v>
      </c>
    </row>
    <row r="8" spans="1:18" x14ac:dyDescent="0.3">
      <c r="A8" t="s">
        <v>256</v>
      </c>
      <c r="B8">
        <f>IFERROR(HLOOKUP(LEFT(B$1,4)&amp;"-"&amp;RIGHT(B$1,2),DATA!$D$1:$HT$52,MATCH($A8,DATA!$B:$B,0),FALSE),0)</f>
        <v>181700</v>
      </c>
      <c r="C8">
        <f>IFERROR(HLOOKUP(LEFT(C$1,4)&amp;"-"&amp;RIGHT(C$1,2),DATA!$D$1:$HT$52,MATCH($A8,DATA!$B:$B,0),FALSE),0)</f>
        <v>203200</v>
      </c>
      <c r="D8">
        <f>IFERROR(HLOOKUP(LEFT(D$1,4)&amp;"-"&amp;RIGHT(D$1,2),DATA!$D$1:$HT$52,MATCH($A8,DATA!$B:$B,0),FALSE),0)</f>
        <v>232400</v>
      </c>
      <c r="E8">
        <f>IFERROR(HLOOKUP(LEFT(E$1,4)&amp;"-"&amp;RIGHT(E$1,2),DATA!$D$1:$HT$52,MATCH($A8,DATA!$B:$B,0),FALSE),0)</f>
        <v>261900</v>
      </c>
      <c r="F8">
        <f>IFERROR(HLOOKUP(LEFT(F$1,4)&amp;"-"&amp;RIGHT(F$1,2),DATA!$D$1:$HT$52,MATCH($A8,DATA!$B:$B,0),FALSE),0)</f>
        <v>287200</v>
      </c>
      <c r="G8">
        <f>IFERROR(HLOOKUP(LEFT(G$1,4)&amp;"-"&amp;RIGHT(G$1,2),DATA!$D$1:$HT$52,MATCH($A8,DATA!$B:$B,0),FALSE),0)</f>
        <v>287100</v>
      </c>
      <c r="H8">
        <f>IFERROR(HLOOKUP(LEFT(H$1,4)&amp;"-"&amp;RIGHT(H$1,2),DATA!$D$1:$HT$52,MATCH($A8,DATA!$B:$B,0),FALSE),0)</f>
        <v>276900</v>
      </c>
      <c r="I8">
        <f>IFERROR(HLOOKUP(LEFT(I$1,4)&amp;"-"&amp;RIGHT(I$1,2),DATA!$D$1:$HT$52,MATCH($A8,DATA!$B:$B,0),FALSE),0)</f>
        <v>256200</v>
      </c>
      <c r="J8">
        <f>IFERROR(HLOOKUP(LEFT(J$1,4)&amp;"-"&amp;RIGHT(J$1,2),DATA!$D$1:$HT$52,MATCH($A8,DATA!$B:$B,0),FALSE),0)</f>
        <v>243100</v>
      </c>
      <c r="K8">
        <f>IFERROR(HLOOKUP(LEFT(K$1,4)&amp;"-"&amp;RIGHT(K$1,2),DATA!$D$1:$HT$52,MATCH($A8,DATA!$B:$B,0),FALSE),0)</f>
        <v>232900</v>
      </c>
      <c r="L8">
        <f>IFERROR(HLOOKUP(LEFT(L$1,4)&amp;"-"&amp;RIGHT(L$1,2),DATA!$D$1:$HT$52,MATCH($A8,DATA!$B:$B,0),FALSE),0)</f>
        <v>220500</v>
      </c>
      <c r="M8">
        <f>IFERROR(HLOOKUP(LEFT(M$1,4)&amp;"-"&amp;RIGHT(M$1,2),DATA!$D$1:$HT$52,MATCH($A8,DATA!$B:$B,0),FALSE),0)</f>
        <v>215700</v>
      </c>
      <c r="N8">
        <f>IFERROR(HLOOKUP(LEFT(N$1,4)&amp;"-"&amp;RIGHT(N$1,2),DATA!$D$1:$HT$52,MATCH($A8,DATA!$B:$B,0),FALSE),0)</f>
        <v>221600</v>
      </c>
      <c r="O8">
        <f>IFERROR(HLOOKUP(LEFT(O$1,4)&amp;"-"&amp;RIGHT(O$1,2),DATA!$D$1:$HT$52,MATCH($A8,DATA!$B:$B,0),FALSE),0)</f>
        <v>221000</v>
      </c>
      <c r="P8">
        <f>IFERROR(HLOOKUP(LEFT(P$1,4)&amp;"-"&amp;RIGHT(P$1,2),DATA!$D$1:$HT$52,MATCH($A8,DATA!$B:$B,0),FALSE),0)</f>
        <v>222600</v>
      </c>
      <c r="Q8">
        <f>IFERROR(HLOOKUP(LEFT(Q$1,4)&amp;"-"&amp;RIGHT(Q$1,2),DATA!$D$1:$HT$52,MATCH($A8,DATA!$B:$B,0),FALSE),0)</f>
        <v>226900</v>
      </c>
      <c r="R8">
        <f>IFERROR(HLOOKUP(LEFT(R$1,4)&amp;"-"&amp;RIGHT(R$1,2),DATA!$D$1:$HT$52,MATCH($A8,DATA!$B:$B,0),FALSE),0)</f>
        <v>236000</v>
      </c>
    </row>
    <row r="9" spans="1:18" x14ac:dyDescent="0.3">
      <c r="A9" t="s">
        <v>272</v>
      </c>
      <c r="B9">
        <f>IFERROR(HLOOKUP(LEFT(B$1,4)&amp;"-"&amp;RIGHT(B$1,2),DATA!$D$1:$HT$52,MATCH($A9,DATA!$B:$B,0),FALSE),0)</f>
        <v>137800</v>
      </c>
      <c r="C9">
        <f>IFERROR(HLOOKUP(LEFT(C$1,4)&amp;"-"&amp;RIGHT(C$1,2),DATA!$D$1:$HT$52,MATCH($A9,DATA!$B:$B,0),FALSE),0)</f>
        <v>149800</v>
      </c>
      <c r="D9">
        <f>IFERROR(HLOOKUP(LEFT(D$1,4)&amp;"-"&amp;RIGHT(D$1,2),DATA!$D$1:$HT$52,MATCH($A9,DATA!$B:$B,0),FALSE),0)</f>
        <v>170300</v>
      </c>
      <c r="E9">
        <f>IFERROR(HLOOKUP(LEFT(E$1,4)&amp;"-"&amp;RIGHT(E$1,2),DATA!$D$1:$HT$52,MATCH($A9,DATA!$B:$B,0),FALSE),0)</f>
        <v>210200</v>
      </c>
      <c r="F9">
        <f>IFERROR(HLOOKUP(LEFT(F$1,4)&amp;"-"&amp;RIGHT(F$1,2),DATA!$D$1:$HT$52,MATCH($A9,DATA!$B:$B,0),FALSE),0)</f>
        <v>220700</v>
      </c>
      <c r="G9">
        <f>IFERROR(HLOOKUP(LEFT(G$1,4)&amp;"-"&amp;RIGHT(G$1,2),DATA!$D$1:$HT$52,MATCH($A9,DATA!$B:$B,0),FALSE),0)</f>
        <v>233200</v>
      </c>
      <c r="H9">
        <f>IFERROR(HLOOKUP(LEFT(H$1,4)&amp;"-"&amp;RIGHT(H$1,2),DATA!$D$1:$HT$52,MATCH($A9,DATA!$B:$B,0),FALSE),0)</f>
        <v>236600</v>
      </c>
      <c r="I9">
        <f>IFERROR(HLOOKUP(LEFT(I$1,4)&amp;"-"&amp;RIGHT(I$1,2),DATA!$D$1:$HT$52,MATCH($A9,DATA!$B:$B,0),FALSE),0)</f>
        <v>229200</v>
      </c>
      <c r="J9">
        <f>IFERROR(HLOOKUP(LEFT(J$1,4)&amp;"-"&amp;RIGHT(J$1,2),DATA!$D$1:$HT$52,MATCH($A9,DATA!$B:$B,0),FALSE),0)</f>
        <v>218000</v>
      </c>
      <c r="K9">
        <f>IFERROR(HLOOKUP(LEFT(K$1,4)&amp;"-"&amp;RIGHT(K$1,2),DATA!$D$1:$HT$52,MATCH($A9,DATA!$B:$B,0),FALSE),0)</f>
        <v>223500</v>
      </c>
      <c r="L9">
        <f>IFERROR(HLOOKUP(LEFT(L$1,4)&amp;"-"&amp;RIGHT(L$1,2),DATA!$D$1:$HT$52,MATCH($A9,DATA!$B:$B,0),FALSE),0)</f>
        <v>197300</v>
      </c>
      <c r="M9">
        <f>IFERROR(HLOOKUP(LEFT(M$1,4)&amp;"-"&amp;RIGHT(M$1,2),DATA!$D$1:$HT$52,MATCH($A9,DATA!$B:$B,0),FALSE),0)</f>
        <v>186400</v>
      </c>
      <c r="N9">
        <f>IFERROR(HLOOKUP(LEFT(N$1,4)&amp;"-"&amp;RIGHT(N$1,2),DATA!$D$1:$HT$52,MATCH($A9,DATA!$B:$B,0),FALSE),0)</f>
        <v>194200</v>
      </c>
      <c r="O9">
        <f>IFERROR(HLOOKUP(LEFT(O$1,4)&amp;"-"&amp;RIGHT(O$1,2),DATA!$D$1:$HT$52,MATCH($A9,DATA!$B:$B,0),FALSE),0)</f>
        <v>199200</v>
      </c>
      <c r="P9">
        <f>IFERROR(HLOOKUP(LEFT(P$1,4)&amp;"-"&amp;RIGHT(P$1,2),DATA!$D$1:$HT$52,MATCH($A9,DATA!$B:$B,0),FALSE),0)</f>
        <v>208500</v>
      </c>
      <c r="Q9">
        <f>IFERROR(HLOOKUP(LEFT(Q$1,4)&amp;"-"&amp;RIGHT(Q$1,2),DATA!$D$1:$HT$52,MATCH($A9,DATA!$B:$B,0),FALSE),0)</f>
        <v>219000</v>
      </c>
      <c r="R9">
        <f>IFERROR(HLOOKUP(LEFT(R$1,4)&amp;"-"&amp;RIGHT(R$1,2),DATA!$D$1:$HT$52,MATCH($A9,DATA!$B:$B,0),FALSE),0)</f>
        <v>236400</v>
      </c>
    </row>
    <row r="10" spans="1:18" x14ac:dyDescent="0.3">
      <c r="A10" t="s">
        <v>277</v>
      </c>
      <c r="B10">
        <f>IFERROR(HLOOKUP(LEFT(B$1,4)&amp;"-"&amp;RIGHT(B$1,2),DATA!$D$1:$HT$52,MATCH($A10,DATA!$B:$B,0),FALSE),0)</f>
        <v>178900</v>
      </c>
      <c r="C10">
        <f>IFERROR(HLOOKUP(LEFT(C$1,4)&amp;"-"&amp;RIGHT(C$1,2),DATA!$D$1:$HT$52,MATCH($A10,DATA!$B:$B,0),FALSE),0)</f>
        <v>220900</v>
      </c>
      <c r="D10">
        <f>IFERROR(HLOOKUP(LEFT(D$1,4)&amp;"-"&amp;RIGHT(D$1,2),DATA!$D$1:$HT$52,MATCH($A10,DATA!$B:$B,0),FALSE),0)</f>
        <v>273800</v>
      </c>
      <c r="E10">
        <f>IFERROR(HLOOKUP(LEFT(E$1,4)&amp;"-"&amp;RIGHT(E$1,2),DATA!$D$1:$HT$52,MATCH($A10,DATA!$B:$B,0),FALSE),0)</f>
        <v>343200</v>
      </c>
      <c r="F10">
        <f>IFERROR(HLOOKUP(LEFT(F$1,4)&amp;"-"&amp;RIGHT(F$1,2),DATA!$D$1:$HT$52,MATCH($A10,DATA!$B:$B,0),FALSE),0)</f>
        <v>391600</v>
      </c>
      <c r="G10">
        <f>IFERROR(HLOOKUP(LEFT(G$1,4)&amp;"-"&amp;RIGHT(G$1,2),DATA!$D$1:$HT$52,MATCH($A10,DATA!$B:$B,0),FALSE),0)</f>
        <v>400100</v>
      </c>
      <c r="H10">
        <f>IFERROR(HLOOKUP(LEFT(H$1,4)&amp;"-"&amp;RIGHT(H$1,2),DATA!$D$1:$HT$52,MATCH($A10,DATA!$B:$B,0),FALSE),0)</f>
        <v>397700</v>
      </c>
      <c r="I10">
        <f>IFERROR(HLOOKUP(LEFT(I$1,4)&amp;"-"&amp;RIGHT(I$1,2),DATA!$D$1:$HT$52,MATCH($A10,DATA!$B:$B,0),FALSE),0)</f>
        <v>369000</v>
      </c>
      <c r="J10">
        <f>IFERROR(HLOOKUP(LEFT(J$1,4)&amp;"-"&amp;RIGHT(J$1,2),DATA!$D$1:$HT$52,MATCH($A10,DATA!$B:$B,0),FALSE),0)</f>
        <v>353000</v>
      </c>
      <c r="K10">
        <f>IFERROR(HLOOKUP(LEFT(K$1,4)&amp;"-"&amp;RIGHT(K$1,2),DATA!$D$1:$HT$52,MATCH($A10,DATA!$B:$B,0),FALSE),0)</f>
        <v>355900</v>
      </c>
      <c r="L10">
        <f>IFERROR(HLOOKUP(LEFT(L$1,4)&amp;"-"&amp;RIGHT(L$1,2),DATA!$D$1:$HT$52,MATCH($A10,DATA!$B:$B,0),FALSE),0)</f>
        <v>352600</v>
      </c>
      <c r="M10">
        <f>IFERROR(HLOOKUP(LEFT(M$1,4)&amp;"-"&amp;RIGHT(M$1,2),DATA!$D$1:$HT$52,MATCH($A10,DATA!$B:$B,0),FALSE),0)</f>
        <v>384800</v>
      </c>
      <c r="N10">
        <f>IFERROR(HLOOKUP(LEFT(N$1,4)&amp;"-"&amp;RIGHT(N$1,2),DATA!$D$1:$HT$52,MATCH($A10,DATA!$B:$B,0),FALSE),0)</f>
        <v>428900</v>
      </c>
      <c r="O10">
        <f>IFERROR(HLOOKUP(LEFT(O$1,4)&amp;"-"&amp;RIGHT(O$1,2),DATA!$D$1:$HT$52,MATCH($A10,DATA!$B:$B,0),FALSE),0)</f>
        <v>452600</v>
      </c>
      <c r="P10">
        <f>IFERROR(HLOOKUP(LEFT(P$1,4)&amp;"-"&amp;RIGHT(P$1,2),DATA!$D$1:$HT$52,MATCH($A10,DATA!$B:$B,0),FALSE),0)</f>
        <v>482900</v>
      </c>
      <c r="Q10">
        <f>IFERROR(HLOOKUP(LEFT(Q$1,4)&amp;"-"&amp;RIGHT(Q$1,2),DATA!$D$1:$HT$52,MATCH($A10,DATA!$B:$B,0),FALSE),0)</f>
        <v>528300</v>
      </c>
      <c r="R10">
        <f>IFERROR(HLOOKUP(LEFT(R$1,4)&amp;"-"&amp;RIGHT(R$1,2),DATA!$D$1:$HT$52,MATCH($A10,DATA!$B:$B,0),FALSE),0)</f>
        <v>548500</v>
      </c>
    </row>
    <row r="11" spans="1:18" x14ac:dyDescent="0.3">
      <c r="A11" t="s">
        <v>231</v>
      </c>
      <c r="B11">
        <f>IFERROR(HLOOKUP(LEFT(B$1,4)&amp;"-"&amp;RIGHT(B$1,2),DATA!$D$1:$HT$52,MATCH($A11,DATA!$B:$B,0),FALSE),0)</f>
        <v>121700</v>
      </c>
      <c r="C11">
        <f>IFERROR(HLOOKUP(LEFT(C$1,4)&amp;"-"&amp;RIGHT(C$1,2),DATA!$D$1:$HT$52,MATCH($A11,DATA!$B:$B,0),FALSE),0)</f>
        <v>133100</v>
      </c>
      <c r="D11">
        <f>IFERROR(HLOOKUP(LEFT(D$1,4)&amp;"-"&amp;RIGHT(D$1,2),DATA!$D$1:$HT$52,MATCH($A11,DATA!$B:$B,0),FALSE),0)</f>
        <v>150700</v>
      </c>
      <c r="E11">
        <f>IFERROR(HLOOKUP(LEFT(E$1,4)&amp;"-"&amp;RIGHT(E$1,2),DATA!$D$1:$HT$52,MATCH($A11,DATA!$B:$B,0),FALSE),0)</f>
        <v>184200</v>
      </c>
      <c r="F11">
        <f>IFERROR(HLOOKUP(LEFT(F$1,4)&amp;"-"&amp;RIGHT(F$1,2),DATA!$D$1:$HT$52,MATCH($A11,DATA!$B:$B,0),FALSE),0)</f>
        <v>240000</v>
      </c>
      <c r="G11">
        <f>IFERROR(HLOOKUP(LEFT(G$1,4)&amp;"-"&amp;RIGHT(G$1,2),DATA!$D$1:$HT$52,MATCH($A11,DATA!$B:$B,0),FALSE),0)</f>
        <v>254900</v>
      </c>
      <c r="H11">
        <f>IFERROR(HLOOKUP(LEFT(H$1,4)&amp;"-"&amp;RIGHT(H$1,2),DATA!$D$1:$HT$52,MATCH($A11,DATA!$B:$B,0),FALSE),0)</f>
        <v>221300</v>
      </c>
      <c r="I11">
        <f>IFERROR(HLOOKUP(LEFT(I$1,4)&amp;"-"&amp;RIGHT(I$1,2),DATA!$D$1:$HT$52,MATCH($A11,DATA!$B:$B,0),FALSE),0)</f>
        <v>173900</v>
      </c>
      <c r="J11">
        <f>IFERROR(HLOOKUP(LEFT(J$1,4)&amp;"-"&amp;RIGHT(J$1,2),DATA!$D$1:$HT$52,MATCH($A11,DATA!$B:$B,0),FALSE),0)</f>
        <v>142800</v>
      </c>
      <c r="K11">
        <f>IFERROR(HLOOKUP(LEFT(K$1,4)&amp;"-"&amp;RIGHT(K$1,2),DATA!$D$1:$HT$52,MATCH($A11,DATA!$B:$B,0),FALSE),0)</f>
        <v>130500</v>
      </c>
      <c r="L11">
        <f>IFERROR(HLOOKUP(LEFT(L$1,4)&amp;"-"&amp;RIGHT(L$1,2),DATA!$D$1:$HT$52,MATCH($A11,DATA!$B:$B,0),FALSE),0)</f>
        <v>123600</v>
      </c>
      <c r="M11">
        <f>IFERROR(HLOOKUP(LEFT(M$1,4)&amp;"-"&amp;RIGHT(M$1,2),DATA!$D$1:$HT$52,MATCH($A11,DATA!$B:$B,0),FALSE),0)</f>
        <v>128700</v>
      </c>
      <c r="N11">
        <f>IFERROR(HLOOKUP(LEFT(N$1,4)&amp;"-"&amp;RIGHT(N$1,2),DATA!$D$1:$HT$52,MATCH($A11,DATA!$B:$B,0),FALSE),0)</f>
        <v>144700</v>
      </c>
      <c r="O11">
        <f>IFERROR(HLOOKUP(LEFT(O$1,4)&amp;"-"&amp;RIGHT(O$1,2),DATA!$D$1:$HT$52,MATCH($A11,DATA!$B:$B,0),FALSE),0)</f>
        <v>158000</v>
      </c>
      <c r="P11">
        <f>IFERROR(HLOOKUP(LEFT(P$1,4)&amp;"-"&amp;RIGHT(P$1,2),DATA!$D$1:$HT$52,MATCH($A11,DATA!$B:$B,0),FALSE),0)</f>
        <v>173700</v>
      </c>
      <c r="Q11">
        <f>IFERROR(HLOOKUP(LEFT(Q$1,4)&amp;"-"&amp;RIGHT(Q$1,2),DATA!$D$1:$HT$52,MATCH($A11,DATA!$B:$B,0),FALSE),0)</f>
        <v>195400</v>
      </c>
      <c r="R11">
        <f>IFERROR(HLOOKUP(LEFT(R$1,4)&amp;"-"&amp;RIGHT(R$1,2),DATA!$D$1:$HT$52,MATCH($A11,DATA!$B:$B,0),FALSE),0)</f>
        <v>214200</v>
      </c>
    </row>
    <row r="12" spans="1:18" x14ac:dyDescent="0.3">
      <c r="A12" t="s">
        <v>236</v>
      </c>
      <c r="B12">
        <f>IFERROR(HLOOKUP(LEFT(B$1,4)&amp;"-"&amp;RIGHT(B$1,2),DATA!$D$1:$HT$52,MATCH($A12,DATA!$B:$B,0),FALSE),0)</f>
        <v>131100</v>
      </c>
      <c r="C12">
        <f>IFERROR(HLOOKUP(LEFT(C$1,4)&amp;"-"&amp;RIGHT(C$1,2),DATA!$D$1:$HT$52,MATCH($A12,DATA!$B:$B,0),FALSE),0)</f>
        <v>137900</v>
      </c>
      <c r="D12">
        <f>IFERROR(HLOOKUP(LEFT(D$1,4)&amp;"-"&amp;RIGHT(D$1,2),DATA!$D$1:$HT$52,MATCH($A12,DATA!$B:$B,0),FALSE),0)</f>
        <v>141900</v>
      </c>
      <c r="E12">
        <f>IFERROR(HLOOKUP(LEFT(E$1,4)&amp;"-"&amp;RIGHT(E$1,2),DATA!$D$1:$HT$52,MATCH($A12,DATA!$B:$B,0),FALSE),0)</f>
        <v>149600</v>
      </c>
      <c r="F12">
        <f>IFERROR(HLOOKUP(LEFT(F$1,4)&amp;"-"&amp;RIGHT(F$1,2),DATA!$D$1:$HT$52,MATCH($A12,DATA!$B:$B,0),FALSE),0)</f>
        <v>155300</v>
      </c>
      <c r="G12">
        <f>IFERROR(HLOOKUP(LEFT(G$1,4)&amp;"-"&amp;RIGHT(G$1,2),DATA!$D$1:$HT$52,MATCH($A12,DATA!$B:$B,0),FALSE),0)</f>
        <v>162200</v>
      </c>
      <c r="H12">
        <f>IFERROR(HLOOKUP(LEFT(H$1,4)&amp;"-"&amp;RIGHT(H$1,2),DATA!$D$1:$HT$52,MATCH($A12,DATA!$B:$B,0),FALSE),0)</f>
        <v>161800</v>
      </c>
      <c r="I12">
        <f>IFERROR(HLOOKUP(LEFT(I$1,4)&amp;"-"&amp;RIGHT(I$1,2),DATA!$D$1:$HT$52,MATCH($A12,DATA!$B:$B,0),FALSE),0)</f>
        <v>149100</v>
      </c>
      <c r="J12">
        <f>IFERROR(HLOOKUP(LEFT(J$1,4)&amp;"-"&amp;RIGHT(J$1,2),DATA!$D$1:$HT$52,MATCH($A12,DATA!$B:$B,0),FALSE),0)</f>
        <v>136300</v>
      </c>
      <c r="K12">
        <f>IFERROR(HLOOKUP(LEFT(K$1,4)&amp;"-"&amp;RIGHT(K$1,2),DATA!$D$1:$HT$52,MATCH($A12,DATA!$B:$B,0),FALSE),0)</f>
        <v>126100</v>
      </c>
      <c r="L12">
        <f>IFERROR(HLOOKUP(LEFT(L$1,4)&amp;"-"&amp;RIGHT(L$1,2),DATA!$D$1:$HT$52,MATCH($A12,DATA!$B:$B,0),FALSE),0)</f>
        <v>111800</v>
      </c>
      <c r="M12">
        <f>IFERROR(HLOOKUP(LEFT(M$1,4)&amp;"-"&amp;RIGHT(M$1,2),DATA!$D$1:$HT$52,MATCH($A12,DATA!$B:$B,0),FALSE),0)</f>
        <v>112800</v>
      </c>
      <c r="N12">
        <f>IFERROR(HLOOKUP(LEFT(N$1,4)&amp;"-"&amp;RIGHT(N$1,2),DATA!$D$1:$HT$52,MATCH($A12,DATA!$B:$B,0),FALSE),0)</f>
        <v>123800</v>
      </c>
      <c r="O12">
        <f>IFERROR(HLOOKUP(LEFT(O$1,4)&amp;"-"&amp;RIGHT(O$1,2),DATA!$D$1:$HT$52,MATCH($A12,DATA!$B:$B,0),FALSE),0)</f>
        <v>134900</v>
      </c>
      <c r="P12">
        <f>IFERROR(HLOOKUP(LEFT(P$1,4)&amp;"-"&amp;RIGHT(P$1,2),DATA!$D$1:$HT$52,MATCH($A12,DATA!$B:$B,0),FALSE),0)</f>
        <v>143000</v>
      </c>
      <c r="Q12">
        <f>IFERROR(HLOOKUP(LEFT(Q$1,4)&amp;"-"&amp;RIGHT(Q$1,2),DATA!$D$1:$HT$52,MATCH($A12,DATA!$B:$B,0),FALSE),0)</f>
        <v>154800</v>
      </c>
      <c r="R12">
        <f>IFERROR(HLOOKUP(LEFT(R$1,4)&amp;"-"&amp;RIGHT(R$1,2),DATA!$D$1:$HT$52,MATCH($A12,DATA!$B:$B,0),FALSE),0)</f>
        <v>166900</v>
      </c>
    </row>
    <row r="13" spans="1:18" x14ac:dyDescent="0.3">
      <c r="A13" t="s">
        <v>267</v>
      </c>
      <c r="B13">
        <f>IFERROR(HLOOKUP(LEFT(B$1,4)&amp;"-"&amp;RIGHT(B$1,2),DATA!$D$1:$HT$52,MATCH($A13,DATA!$B:$B,0),FALSE),0)</f>
        <v>229800</v>
      </c>
      <c r="C13">
        <f>IFERROR(HLOOKUP(LEFT(C$1,4)&amp;"-"&amp;RIGHT(C$1,2),DATA!$D$1:$HT$52,MATCH($A13,DATA!$B:$B,0),FALSE),0)</f>
        <v>256500</v>
      </c>
      <c r="D13">
        <f>IFERROR(HLOOKUP(LEFT(D$1,4)&amp;"-"&amp;RIGHT(D$1,2),DATA!$D$1:$HT$52,MATCH($A13,DATA!$B:$B,0),FALSE),0)</f>
        <v>312500</v>
      </c>
      <c r="E13">
        <f>IFERROR(HLOOKUP(LEFT(E$1,4)&amp;"-"&amp;RIGHT(E$1,2),DATA!$D$1:$HT$52,MATCH($A13,DATA!$B:$B,0),FALSE),0)</f>
        <v>413200</v>
      </c>
      <c r="F13">
        <f>IFERROR(HLOOKUP(LEFT(F$1,4)&amp;"-"&amp;RIGHT(F$1,2),DATA!$D$1:$HT$52,MATCH($A13,DATA!$B:$B,0),FALSE),0)</f>
        <v>509400</v>
      </c>
      <c r="G13">
        <f>IFERROR(HLOOKUP(LEFT(G$1,4)&amp;"-"&amp;RIGHT(G$1,2),DATA!$D$1:$HT$52,MATCH($A13,DATA!$B:$B,0),FALSE),0)</f>
        <v>534700</v>
      </c>
      <c r="H13">
        <f>IFERROR(HLOOKUP(LEFT(H$1,4)&amp;"-"&amp;RIGHT(H$1,2),DATA!$D$1:$HT$52,MATCH($A13,DATA!$B:$B,0),FALSE),0)</f>
        <v>518100</v>
      </c>
      <c r="I13">
        <f>IFERROR(HLOOKUP(LEFT(I$1,4)&amp;"-"&amp;RIGHT(I$1,2),DATA!$D$1:$HT$52,MATCH($A13,DATA!$B:$B,0),FALSE),0)</f>
        <v>464600</v>
      </c>
      <c r="J13">
        <f>IFERROR(HLOOKUP(LEFT(J$1,4)&amp;"-"&amp;RIGHT(J$1,2),DATA!$D$1:$HT$52,MATCH($A13,DATA!$B:$B,0),FALSE),0)</f>
        <v>422500</v>
      </c>
      <c r="K13">
        <f>IFERROR(HLOOKUP(LEFT(K$1,4)&amp;"-"&amp;RIGHT(K$1,2),DATA!$D$1:$HT$52,MATCH($A13,DATA!$B:$B,0),FALSE),0)</f>
        <v>416500</v>
      </c>
      <c r="L13">
        <f>IFERROR(HLOOKUP(LEFT(L$1,4)&amp;"-"&amp;RIGHT(L$1,2),DATA!$D$1:$HT$52,MATCH($A13,DATA!$B:$B,0),FALSE),0)</f>
        <v>401900</v>
      </c>
      <c r="M13">
        <f>IFERROR(HLOOKUP(LEFT(M$1,4)&amp;"-"&amp;RIGHT(M$1,2),DATA!$D$1:$HT$52,MATCH($A13,DATA!$B:$B,0),FALSE),0)</f>
        <v>426200</v>
      </c>
      <c r="N13">
        <f>IFERROR(HLOOKUP(LEFT(N$1,4)&amp;"-"&amp;RIGHT(N$1,2),DATA!$D$1:$HT$52,MATCH($A13,DATA!$B:$B,0),FALSE),0)</f>
        <v>464900</v>
      </c>
      <c r="O13">
        <f>IFERROR(HLOOKUP(LEFT(O$1,4)&amp;"-"&amp;RIGHT(O$1,2),DATA!$D$1:$HT$52,MATCH($A13,DATA!$B:$B,0),FALSE),0)</f>
        <v>500700</v>
      </c>
      <c r="P13">
        <f>IFERROR(HLOOKUP(LEFT(P$1,4)&amp;"-"&amp;RIGHT(P$1,2),DATA!$D$1:$HT$52,MATCH($A13,DATA!$B:$B,0),FALSE),0)</f>
        <v>525300</v>
      </c>
      <c r="Q13">
        <f>IFERROR(HLOOKUP(LEFT(Q$1,4)&amp;"-"&amp;RIGHT(Q$1,2),DATA!$D$1:$HT$52,MATCH($A13,DATA!$B:$B,0),FALSE),0)</f>
        <v>567200</v>
      </c>
      <c r="R13">
        <f>IFERROR(HLOOKUP(LEFT(R$1,4)&amp;"-"&amp;RIGHT(R$1,2),DATA!$D$1:$HT$52,MATCH($A13,DATA!$B:$B,0),FALSE),0)</f>
        <v>589300</v>
      </c>
    </row>
    <row r="14" spans="1:18" x14ac:dyDescent="0.3">
      <c r="A14" t="s">
        <v>266</v>
      </c>
      <c r="B14">
        <f>IFERROR(HLOOKUP(LEFT(B$1,4)&amp;"-"&amp;RIGHT(B$1,2),DATA!$D$1:$HT$52,MATCH($A14,DATA!$B:$B,0),FALSE),0)</f>
        <v>123700</v>
      </c>
      <c r="C14">
        <f>IFERROR(HLOOKUP(LEFT(C$1,4)&amp;"-"&amp;RIGHT(C$1,2),DATA!$D$1:$HT$52,MATCH($A14,DATA!$B:$B,0),FALSE),0)</f>
        <v>127200</v>
      </c>
      <c r="D14">
        <f>IFERROR(HLOOKUP(LEFT(D$1,4)&amp;"-"&amp;RIGHT(D$1,2),DATA!$D$1:$HT$52,MATCH($A14,DATA!$B:$B,0),FALSE),0)</f>
        <v>132000</v>
      </c>
      <c r="E14">
        <f>IFERROR(HLOOKUP(LEFT(E$1,4)&amp;"-"&amp;RIGHT(E$1,2),DATA!$D$1:$HT$52,MATCH($A14,DATA!$B:$B,0),FALSE),0)</f>
        <v>142100</v>
      </c>
      <c r="F14">
        <f>IFERROR(HLOOKUP(LEFT(F$1,4)&amp;"-"&amp;RIGHT(F$1,2),DATA!$D$1:$HT$52,MATCH($A14,DATA!$B:$B,0),FALSE),0)</f>
        <v>166400</v>
      </c>
      <c r="G14">
        <f>IFERROR(HLOOKUP(LEFT(G$1,4)&amp;"-"&amp;RIGHT(G$1,2),DATA!$D$1:$HT$52,MATCH($A14,DATA!$B:$B,0),FALSE),0)</f>
        <v>188900</v>
      </c>
      <c r="H14">
        <f>IFERROR(HLOOKUP(LEFT(H$1,4)&amp;"-"&amp;RIGHT(H$1,2),DATA!$D$1:$HT$52,MATCH($A14,DATA!$B:$B,0),FALSE),0)</f>
        <v>191600</v>
      </c>
      <c r="I14">
        <f>IFERROR(HLOOKUP(LEFT(I$1,4)&amp;"-"&amp;RIGHT(I$1,2),DATA!$D$1:$HT$52,MATCH($A14,DATA!$B:$B,0),FALSE),0)</f>
        <v>180500</v>
      </c>
      <c r="J14">
        <f>IFERROR(HLOOKUP(LEFT(J$1,4)&amp;"-"&amp;RIGHT(J$1,2),DATA!$D$1:$HT$52,MATCH($A14,DATA!$B:$B,0),FALSE),0)</f>
        <v>165300</v>
      </c>
      <c r="K14">
        <f>IFERROR(HLOOKUP(LEFT(K$1,4)&amp;"-"&amp;RIGHT(K$1,2),DATA!$D$1:$HT$52,MATCH($A14,DATA!$B:$B,0),FALSE),0)</f>
        <v>150900</v>
      </c>
      <c r="L14">
        <f>IFERROR(HLOOKUP(LEFT(L$1,4)&amp;"-"&amp;RIGHT(L$1,2),DATA!$D$1:$HT$52,MATCH($A14,DATA!$B:$B,0),FALSE),0)</f>
        <v>141900</v>
      </c>
      <c r="M14">
        <f>IFERROR(HLOOKUP(LEFT(M$1,4)&amp;"-"&amp;RIGHT(M$1,2),DATA!$D$1:$HT$52,MATCH($A14,DATA!$B:$B,0),FALSE),0)</f>
        <v>148400</v>
      </c>
      <c r="N14">
        <f>IFERROR(HLOOKUP(LEFT(N$1,4)&amp;"-"&amp;RIGHT(N$1,2),DATA!$D$1:$HT$52,MATCH($A14,DATA!$B:$B,0),FALSE),0)</f>
        <v>162800</v>
      </c>
      <c r="O14">
        <f>IFERROR(HLOOKUP(LEFT(O$1,4)&amp;"-"&amp;RIGHT(O$1,2),DATA!$D$1:$HT$52,MATCH($A14,DATA!$B:$B,0),FALSE),0)</f>
        <v>171900</v>
      </c>
      <c r="P14">
        <f>IFERROR(HLOOKUP(LEFT(P$1,4)&amp;"-"&amp;RIGHT(P$1,2),DATA!$D$1:$HT$52,MATCH($A14,DATA!$B:$B,0),FALSE),0)</f>
        <v>182700</v>
      </c>
      <c r="Q14">
        <f>IFERROR(HLOOKUP(LEFT(Q$1,4)&amp;"-"&amp;RIGHT(Q$1,2),DATA!$D$1:$HT$52,MATCH($A14,DATA!$B:$B,0),FALSE),0)</f>
        <v>198200</v>
      </c>
      <c r="R14">
        <f>IFERROR(HLOOKUP(LEFT(R$1,4)&amp;"-"&amp;RIGHT(R$1,2),DATA!$D$1:$HT$52,MATCH($A14,DATA!$B:$B,0),FALSE),0)</f>
        <v>219200</v>
      </c>
    </row>
    <row r="15" spans="1:18" x14ac:dyDescent="0.3">
      <c r="A15" t="s">
        <v>232</v>
      </c>
      <c r="B15">
        <f>IFERROR(HLOOKUP(LEFT(B$1,4)&amp;"-"&amp;RIGHT(B$1,2),DATA!$D$1:$HT$52,MATCH($A15,DATA!$B:$B,0),FALSE),0)</f>
        <v>148700</v>
      </c>
      <c r="C15">
        <f>IFERROR(HLOOKUP(LEFT(C$1,4)&amp;"-"&amp;RIGHT(C$1,2),DATA!$D$1:$HT$52,MATCH($A15,DATA!$B:$B,0),FALSE),0)</f>
        <v>158400</v>
      </c>
      <c r="D15">
        <f>IFERROR(HLOOKUP(LEFT(D$1,4)&amp;"-"&amp;RIGHT(D$1,2),DATA!$D$1:$HT$52,MATCH($A15,DATA!$B:$B,0),FALSE),0)</f>
        <v>167700</v>
      </c>
      <c r="E15">
        <f>IFERROR(HLOOKUP(LEFT(E$1,4)&amp;"-"&amp;RIGHT(E$1,2),DATA!$D$1:$HT$52,MATCH($A15,DATA!$B:$B,0),FALSE),0)</f>
        <v>180600</v>
      </c>
      <c r="F15">
        <f>IFERROR(HLOOKUP(LEFT(F$1,4)&amp;"-"&amp;RIGHT(F$1,2),DATA!$D$1:$HT$52,MATCH($A15,DATA!$B:$B,0),FALSE),0)</f>
        <v>194600</v>
      </c>
      <c r="G15">
        <f>IFERROR(HLOOKUP(LEFT(G$1,4)&amp;"-"&amp;RIGHT(G$1,2),DATA!$D$1:$HT$52,MATCH($A15,DATA!$B:$B,0),FALSE),0)</f>
        <v>203200</v>
      </c>
      <c r="H15">
        <f>IFERROR(HLOOKUP(LEFT(H$1,4)&amp;"-"&amp;RIGHT(H$1,2),DATA!$D$1:$HT$52,MATCH($A15,DATA!$B:$B,0),FALSE),0)</f>
        <v>199300</v>
      </c>
      <c r="I15">
        <f>IFERROR(HLOOKUP(LEFT(I$1,4)&amp;"-"&amp;RIGHT(I$1,2),DATA!$D$1:$HT$52,MATCH($A15,DATA!$B:$B,0),FALSE),0)</f>
        <v>181200</v>
      </c>
      <c r="J15">
        <f>IFERROR(HLOOKUP(LEFT(J$1,4)&amp;"-"&amp;RIGHT(J$1,2),DATA!$D$1:$HT$52,MATCH($A15,DATA!$B:$B,0),FALSE),0)</f>
        <v>162600</v>
      </c>
      <c r="K15">
        <f>IFERROR(HLOOKUP(LEFT(K$1,4)&amp;"-"&amp;RIGHT(K$1,2),DATA!$D$1:$HT$52,MATCH($A15,DATA!$B:$B,0),FALSE),0)</f>
        <v>150200</v>
      </c>
      <c r="L15">
        <f>IFERROR(HLOOKUP(LEFT(L$1,4)&amp;"-"&amp;RIGHT(L$1,2),DATA!$D$1:$HT$52,MATCH($A15,DATA!$B:$B,0),FALSE),0)</f>
        <v>136800</v>
      </c>
      <c r="M15">
        <f>IFERROR(HLOOKUP(LEFT(M$1,4)&amp;"-"&amp;RIGHT(M$1,2),DATA!$D$1:$HT$52,MATCH($A15,DATA!$B:$B,0),FALSE),0)</f>
        <v>135100</v>
      </c>
      <c r="N15">
        <f>IFERROR(HLOOKUP(LEFT(N$1,4)&amp;"-"&amp;RIGHT(N$1,2),DATA!$D$1:$HT$52,MATCH($A15,DATA!$B:$B,0),FALSE),0)</f>
        <v>141800</v>
      </c>
      <c r="O15">
        <f>IFERROR(HLOOKUP(LEFT(O$1,4)&amp;"-"&amp;RIGHT(O$1,2),DATA!$D$1:$HT$52,MATCH($A15,DATA!$B:$B,0),FALSE),0)</f>
        <v>149100</v>
      </c>
      <c r="P15">
        <f>IFERROR(HLOOKUP(LEFT(P$1,4)&amp;"-"&amp;RIGHT(P$1,2),DATA!$D$1:$HT$52,MATCH($A15,DATA!$B:$B,0),FALSE),0)</f>
        <v>155800</v>
      </c>
      <c r="Q15">
        <f>IFERROR(HLOOKUP(LEFT(Q$1,4)&amp;"-"&amp;RIGHT(Q$1,2),DATA!$D$1:$HT$52,MATCH($A15,DATA!$B:$B,0),FALSE),0)</f>
        <v>163000</v>
      </c>
      <c r="R15">
        <f>IFERROR(HLOOKUP(LEFT(R$1,4)&amp;"-"&amp;RIGHT(R$1,2),DATA!$D$1:$HT$52,MATCH($A15,DATA!$B:$B,0),FALSE),0)</f>
        <v>171200</v>
      </c>
    </row>
    <row r="16" spans="1:18" x14ac:dyDescent="0.3">
      <c r="A16" t="s">
        <v>242</v>
      </c>
      <c r="B16">
        <f>IFERROR(HLOOKUP(LEFT(B$1,4)&amp;"-"&amp;RIGHT(B$1,2),DATA!$D$1:$HT$52,MATCH($A16,DATA!$B:$B,0),FALSE),0)</f>
        <v>103500</v>
      </c>
      <c r="C16">
        <f>IFERROR(HLOOKUP(LEFT(C$1,4)&amp;"-"&amp;RIGHT(C$1,2),DATA!$D$1:$HT$52,MATCH($A16,DATA!$B:$B,0),FALSE),0)</f>
        <v>103600</v>
      </c>
      <c r="D16">
        <f>IFERROR(HLOOKUP(LEFT(D$1,4)&amp;"-"&amp;RIGHT(D$1,2),DATA!$D$1:$HT$52,MATCH($A16,DATA!$B:$B,0),FALSE),0)</f>
        <v>103800</v>
      </c>
      <c r="E16">
        <f>IFERROR(HLOOKUP(LEFT(E$1,4)&amp;"-"&amp;RIGHT(E$1,2),DATA!$D$1:$HT$52,MATCH($A16,DATA!$B:$B,0),FALSE),0)</f>
        <v>107500</v>
      </c>
      <c r="F16">
        <f>IFERROR(HLOOKUP(LEFT(F$1,4)&amp;"-"&amp;RIGHT(F$1,2),DATA!$D$1:$HT$52,MATCH($A16,DATA!$B:$B,0),FALSE),0)</f>
        <v>114800</v>
      </c>
      <c r="G16">
        <f>IFERROR(HLOOKUP(LEFT(G$1,4)&amp;"-"&amp;RIGHT(G$1,2),DATA!$D$1:$HT$52,MATCH($A16,DATA!$B:$B,0),FALSE),0)</f>
        <v>117600</v>
      </c>
      <c r="H16">
        <f>IFERROR(HLOOKUP(LEFT(H$1,4)&amp;"-"&amp;RIGHT(H$1,2),DATA!$D$1:$HT$52,MATCH($A16,DATA!$B:$B,0),FALSE),0)</f>
        <v>117900</v>
      </c>
      <c r="I16">
        <f>IFERROR(HLOOKUP(LEFT(I$1,4)&amp;"-"&amp;RIGHT(I$1,2),DATA!$D$1:$HT$52,MATCH($A16,DATA!$B:$B,0),FALSE),0)</f>
        <v>113800</v>
      </c>
      <c r="J16">
        <f>IFERROR(HLOOKUP(LEFT(J$1,4)&amp;"-"&amp;RIGHT(J$1,2),DATA!$D$1:$HT$52,MATCH($A16,DATA!$B:$B,0),FALSE),0)</f>
        <v>108000</v>
      </c>
      <c r="K16">
        <f>IFERROR(HLOOKUP(LEFT(K$1,4)&amp;"-"&amp;RIGHT(K$1,2),DATA!$D$1:$HT$52,MATCH($A16,DATA!$B:$B,0),FALSE),0)</f>
        <v>108000</v>
      </c>
      <c r="L16">
        <f>IFERROR(HLOOKUP(LEFT(L$1,4)&amp;"-"&amp;RIGHT(L$1,2),DATA!$D$1:$HT$52,MATCH($A16,DATA!$B:$B,0),FALSE),0)</f>
        <v>104300</v>
      </c>
      <c r="M16">
        <f>IFERROR(HLOOKUP(LEFT(M$1,4)&amp;"-"&amp;RIGHT(M$1,2),DATA!$D$1:$HT$52,MATCH($A16,DATA!$B:$B,0),FALSE),0)</f>
        <v>105400</v>
      </c>
      <c r="N16">
        <f>IFERROR(HLOOKUP(LEFT(N$1,4)&amp;"-"&amp;RIGHT(N$1,2),DATA!$D$1:$HT$52,MATCH($A16,DATA!$B:$B,0),FALSE),0)</f>
        <v>104400</v>
      </c>
      <c r="O16">
        <f>IFERROR(HLOOKUP(LEFT(O$1,4)&amp;"-"&amp;RIGHT(O$1,2),DATA!$D$1:$HT$52,MATCH($A16,DATA!$B:$B,0),FALSE),0)</f>
        <v>108100</v>
      </c>
      <c r="P16">
        <f>IFERROR(HLOOKUP(LEFT(P$1,4)&amp;"-"&amp;RIGHT(P$1,2),DATA!$D$1:$HT$52,MATCH($A16,DATA!$B:$B,0),FALSE),0)</f>
        <v>112000</v>
      </c>
      <c r="Q16">
        <f>IFERROR(HLOOKUP(LEFT(Q$1,4)&amp;"-"&amp;RIGHT(Q$1,2),DATA!$D$1:$HT$52,MATCH($A16,DATA!$B:$B,0),FALSE),0)</f>
        <v>119900</v>
      </c>
      <c r="R16">
        <f>IFERROR(HLOOKUP(LEFT(R$1,4)&amp;"-"&amp;RIGHT(R$1,2),DATA!$D$1:$HT$52,MATCH($A16,DATA!$B:$B,0),FALSE),0)</f>
        <v>128000</v>
      </c>
    </row>
    <row r="17" spans="1:18" x14ac:dyDescent="0.3">
      <c r="A17" t="s">
        <v>257</v>
      </c>
      <c r="B17">
        <f>IFERROR(HLOOKUP(LEFT(B$1,4)&amp;"-"&amp;RIGHT(B$1,2),DATA!$D$1:$HT$52,MATCH($A17,DATA!$B:$B,0),FALSE),0)</f>
        <v>85500</v>
      </c>
      <c r="C17">
        <f>IFERROR(HLOOKUP(LEFT(C$1,4)&amp;"-"&amp;RIGHT(C$1,2),DATA!$D$1:$HT$52,MATCH($A17,DATA!$B:$B,0),FALSE),0)</f>
        <v>89800</v>
      </c>
      <c r="D17">
        <f>IFERROR(HLOOKUP(LEFT(D$1,4)&amp;"-"&amp;RIGHT(D$1,2),DATA!$D$1:$HT$52,MATCH($A17,DATA!$B:$B,0),FALSE),0)</f>
        <v>93400</v>
      </c>
      <c r="E17">
        <f>IFERROR(HLOOKUP(LEFT(E$1,4)&amp;"-"&amp;RIGHT(E$1,2),DATA!$D$1:$HT$52,MATCH($A17,DATA!$B:$B,0),FALSE),0)</f>
        <v>99300</v>
      </c>
      <c r="F17">
        <f>IFERROR(HLOOKUP(LEFT(F$1,4)&amp;"-"&amp;RIGHT(F$1,2),DATA!$D$1:$HT$52,MATCH($A17,DATA!$B:$B,0),FALSE),0)</f>
        <v>104300</v>
      </c>
      <c r="G17">
        <f>IFERROR(HLOOKUP(LEFT(G$1,4)&amp;"-"&amp;RIGHT(G$1,2),DATA!$D$1:$HT$52,MATCH($A17,DATA!$B:$B,0),FALSE),0)</f>
        <v>108300</v>
      </c>
      <c r="H17">
        <f>IFERROR(HLOOKUP(LEFT(H$1,4)&amp;"-"&amp;RIGHT(H$1,2),DATA!$D$1:$HT$52,MATCH($A17,DATA!$B:$B,0),FALSE),0)</f>
        <v>110900</v>
      </c>
      <c r="I17">
        <f>IFERROR(HLOOKUP(LEFT(I$1,4)&amp;"-"&amp;RIGHT(I$1,2),DATA!$D$1:$HT$52,MATCH($A17,DATA!$B:$B,0),FALSE),0)</f>
        <v>110600</v>
      </c>
      <c r="J17">
        <f>IFERROR(HLOOKUP(LEFT(J$1,4)&amp;"-"&amp;RIGHT(J$1,2),DATA!$D$1:$HT$52,MATCH($A17,DATA!$B:$B,0),FALSE),0)</f>
        <v>111100</v>
      </c>
      <c r="K17">
        <f>IFERROR(HLOOKUP(LEFT(K$1,4)&amp;"-"&amp;RIGHT(K$1,2),DATA!$D$1:$HT$52,MATCH($A17,DATA!$B:$B,0),FALSE),0)</f>
        <v>111200</v>
      </c>
      <c r="L17">
        <f>IFERROR(HLOOKUP(LEFT(L$1,4)&amp;"-"&amp;RIGHT(L$1,2),DATA!$D$1:$HT$52,MATCH($A17,DATA!$B:$B,0),FALSE),0)</f>
        <v>110300</v>
      </c>
      <c r="M17">
        <f>IFERROR(HLOOKUP(LEFT(M$1,4)&amp;"-"&amp;RIGHT(M$1,2),DATA!$D$1:$HT$52,MATCH($A17,DATA!$B:$B,0),FALSE),0)</f>
        <v>112700</v>
      </c>
      <c r="N17">
        <f>IFERROR(HLOOKUP(LEFT(N$1,4)&amp;"-"&amp;RIGHT(N$1,2),DATA!$D$1:$HT$52,MATCH($A17,DATA!$B:$B,0),FALSE),0)</f>
        <v>115800</v>
      </c>
      <c r="O17">
        <f>IFERROR(HLOOKUP(LEFT(O$1,4)&amp;"-"&amp;RIGHT(O$1,2),DATA!$D$1:$HT$52,MATCH($A17,DATA!$B:$B,0),FALSE),0)</f>
        <v>119900</v>
      </c>
      <c r="P17">
        <f>IFERROR(HLOOKUP(LEFT(P$1,4)&amp;"-"&amp;RIGHT(P$1,2),DATA!$D$1:$HT$52,MATCH($A17,DATA!$B:$B,0),FALSE),0)</f>
        <v>124900</v>
      </c>
      <c r="Q17">
        <f>IFERROR(HLOOKUP(LEFT(Q$1,4)&amp;"-"&amp;RIGHT(Q$1,2),DATA!$D$1:$HT$52,MATCH($A17,DATA!$B:$B,0),FALSE),0)</f>
        <v>130000</v>
      </c>
      <c r="R17">
        <f>IFERROR(HLOOKUP(LEFT(R$1,4)&amp;"-"&amp;RIGHT(R$1,2),DATA!$D$1:$HT$52,MATCH($A17,DATA!$B:$B,0),FALSE),0)</f>
        <v>136900</v>
      </c>
    </row>
    <row r="18" spans="1:18" x14ac:dyDescent="0.3">
      <c r="A18" t="s">
        <v>260</v>
      </c>
      <c r="B18">
        <f>IFERROR(HLOOKUP(LEFT(B$1,4)&amp;"-"&amp;RIGHT(B$1,2),DATA!$D$1:$HT$52,MATCH($A18,DATA!$B:$B,0),FALSE),0)</f>
        <v>97600</v>
      </c>
      <c r="C18">
        <f>IFERROR(HLOOKUP(LEFT(C$1,4)&amp;"-"&amp;RIGHT(C$1,2),DATA!$D$1:$HT$52,MATCH($A18,DATA!$B:$B,0),FALSE),0)</f>
        <v>99200</v>
      </c>
      <c r="D18">
        <f>IFERROR(HLOOKUP(LEFT(D$1,4)&amp;"-"&amp;RIGHT(D$1,2),DATA!$D$1:$HT$52,MATCH($A18,DATA!$B:$B,0),FALSE),0)</f>
        <v>102500</v>
      </c>
      <c r="E18">
        <f>IFERROR(HLOOKUP(LEFT(E$1,4)&amp;"-"&amp;RIGHT(E$1,2),DATA!$D$1:$HT$52,MATCH($A18,DATA!$B:$B,0),FALSE),0)</f>
        <v>111400</v>
      </c>
      <c r="F18">
        <f>IFERROR(HLOOKUP(LEFT(F$1,4)&amp;"-"&amp;RIGHT(F$1,2),DATA!$D$1:$HT$52,MATCH($A18,DATA!$B:$B,0),FALSE),0)</f>
        <v>111900</v>
      </c>
      <c r="G18">
        <f>IFERROR(HLOOKUP(LEFT(G$1,4)&amp;"-"&amp;RIGHT(G$1,2),DATA!$D$1:$HT$52,MATCH($A18,DATA!$B:$B,0),FALSE),0)</f>
        <v>115100</v>
      </c>
      <c r="H18">
        <f>IFERROR(HLOOKUP(LEFT(H$1,4)&amp;"-"&amp;RIGHT(H$1,2),DATA!$D$1:$HT$52,MATCH($A18,DATA!$B:$B,0),FALSE),0)</f>
        <v>119100</v>
      </c>
      <c r="I18">
        <f>IFERROR(HLOOKUP(LEFT(I$1,4)&amp;"-"&amp;RIGHT(I$1,2),DATA!$D$1:$HT$52,MATCH($A18,DATA!$B:$B,0),FALSE),0)</f>
        <v>116500</v>
      </c>
      <c r="J18">
        <f>IFERROR(HLOOKUP(LEFT(J$1,4)&amp;"-"&amp;RIGHT(J$1,2),DATA!$D$1:$HT$52,MATCH($A18,DATA!$B:$B,0),FALSE),0)</f>
        <v>114900</v>
      </c>
      <c r="K18">
        <f>IFERROR(HLOOKUP(LEFT(K$1,4)&amp;"-"&amp;RIGHT(K$1,2),DATA!$D$1:$HT$52,MATCH($A18,DATA!$B:$B,0),FALSE),0)</f>
        <v>113300</v>
      </c>
      <c r="L18">
        <f>IFERROR(HLOOKUP(LEFT(L$1,4)&amp;"-"&amp;RIGHT(L$1,2),DATA!$D$1:$HT$52,MATCH($A18,DATA!$B:$B,0),FALSE),0)</f>
        <v>108700</v>
      </c>
      <c r="M18">
        <f>IFERROR(HLOOKUP(LEFT(M$1,4)&amp;"-"&amp;RIGHT(M$1,2),DATA!$D$1:$HT$52,MATCH($A18,DATA!$B:$B,0),FALSE),0)</f>
        <v>108900</v>
      </c>
      <c r="N18">
        <f>IFERROR(HLOOKUP(LEFT(N$1,4)&amp;"-"&amp;RIGHT(N$1,2),DATA!$D$1:$HT$52,MATCH($A18,DATA!$B:$B,0),FALSE),0)</f>
        <v>110800</v>
      </c>
      <c r="O18">
        <f>IFERROR(HLOOKUP(LEFT(O$1,4)&amp;"-"&amp;RIGHT(O$1,2),DATA!$D$1:$HT$52,MATCH($A18,DATA!$B:$B,0),FALSE),0)</f>
        <v>113800</v>
      </c>
      <c r="P18">
        <f>IFERROR(HLOOKUP(LEFT(P$1,4)&amp;"-"&amp;RIGHT(P$1,2),DATA!$D$1:$HT$52,MATCH($A18,DATA!$B:$B,0),FALSE),0)</f>
        <v>117000</v>
      </c>
      <c r="Q18">
        <f>IFERROR(HLOOKUP(LEFT(Q$1,4)&amp;"-"&amp;RIGHT(Q$1,2),DATA!$D$1:$HT$52,MATCH($A18,DATA!$B:$B,0),FALSE),0)</f>
        <v>124700</v>
      </c>
      <c r="R18">
        <f>IFERROR(HLOOKUP(LEFT(R$1,4)&amp;"-"&amp;RIGHT(R$1,2),DATA!$D$1:$HT$52,MATCH($A18,DATA!$B:$B,0),FALSE),0)</f>
        <v>131400</v>
      </c>
    </row>
    <row r="19" spans="1:18" x14ac:dyDescent="0.3">
      <c r="A19" t="s">
        <v>253</v>
      </c>
      <c r="B19">
        <f>IFERROR(HLOOKUP(LEFT(B$1,4)&amp;"-"&amp;RIGHT(B$1,2),DATA!$D$1:$HT$52,MATCH($A19,DATA!$B:$B,0),FALSE),0)</f>
        <v>94300</v>
      </c>
      <c r="C19">
        <f>IFERROR(HLOOKUP(LEFT(C$1,4)&amp;"-"&amp;RIGHT(C$1,2),DATA!$D$1:$HT$52,MATCH($A19,DATA!$B:$B,0),FALSE),0)</f>
        <v>99500</v>
      </c>
      <c r="D19">
        <f>IFERROR(HLOOKUP(LEFT(D$1,4)&amp;"-"&amp;RIGHT(D$1,2),DATA!$D$1:$HT$52,MATCH($A19,DATA!$B:$B,0),FALSE),0)</f>
        <v>104300</v>
      </c>
      <c r="E19">
        <f>IFERROR(HLOOKUP(LEFT(E$1,4)&amp;"-"&amp;RIGHT(E$1,2),DATA!$D$1:$HT$52,MATCH($A19,DATA!$B:$B,0),FALSE),0)</f>
        <v>109300</v>
      </c>
      <c r="F19">
        <f>IFERROR(HLOOKUP(LEFT(F$1,4)&amp;"-"&amp;RIGHT(F$1,2),DATA!$D$1:$HT$52,MATCH($A19,DATA!$B:$B,0),FALSE),0)</f>
        <v>111100</v>
      </c>
      <c r="G19">
        <f>IFERROR(HLOOKUP(LEFT(G$1,4)&amp;"-"&amp;RIGHT(G$1,2),DATA!$D$1:$HT$52,MATCH($A19,DATA!$B:$B,0),FALSE),0)</f>
        <v>116700</v>
      </c>
      <c r="H19">
        <f>IFERROR(HLOOKUP(LEFT(H$1,4)&amp;"-"&amp;RIGHT(H$1,2),DATA!$D$1:$HT$52,MATCH($A19,DATA!$B:$B,0),FALSE),0)</f>
        <v>115600</v>
      </c>
      <c r="I19">
        <f>IFERROR(HLOOKUP(LEFT(I$1,4)&amp;"-"&amp;RIGHT(I$1,2),DATA!$D$1:$HT$52,MATCH($A19,DATA!$B:$B,0),FALSE),0)</f>
        <v>114000</v>
      </c>
      <c r="J19">
        <f>IFERROR(HLOOKUP(LEFT(J$1,4)&amp;"-"&amp;RIGHT(J$1,2),DATA!$D$1:$HT$52,MATCH($A19,DATA!$B:$B,0),FALSE),0)</f>
        <v>112900</v>
      </c>
      <c r="K19">
        <f>IFERROR(HLOOKUP(LEFT(K$1,4)&amp;"-"&amp;RIGHT(K$1,2),DATA!$D$1:$HT$52,MATCH($A19,DATA!$B:$B,0),FALSE),0)</f>
        <v>114600</v>
      </c>
      <c r="L19">
        <f>IFERROR(HLOOKUP(LEFT(L$1,4)&amp;"-"&amp;RIGHT(L$1,2),DATA!$D$1:$HT$52,MATCH($A19,DATA!$B:$B,0),FALSE),0)</f>
        <v>110700</v>
      </c>
      <c r="M19">
        <f>IFERROR(HLOOKUP(LEFT(M$1,4)&amp;"-"&amp;RIGHT(M$1,2),DATA!$D$1:$HT$52,MATCH($A19,DATA!$B:$B,0),FALSE),0)</f>
        <v>111100</v>
      </c>
      <c r="N19">
        <f>IFERROR(HLOOKUP(LEFT(N$1,4)&amp;"-"&amp;RIGHT(N$1,2),DATA!$D$1:$HT$52,MATCH($A19,DATA!$B:$B,0),FALSE),0)</f>
        <v>112500</v>
      </c>
      <c r="O19">
        <f>IFERROR(HLOOKUP(LEFT(O$1,4)&amp;"-"&amp;RIGHT(O$1,2),DATA!$D$1:$HT$52,MATCH($A19,DATA!$B:$B,0),FALSE),0)</f>
        <v>114800</v>
      </c>
      <c r="P19">
        <f>IFERROR(HLOOKUP(LEFT(P$1,4)&amp;"-"&amp;RIGHT(P$1,2),DATA!$D$1:$HT$52,MATCH($A19,DATA!$B:$B,0),FALSE),0)</f>
        <v>119900</v>
      </c>
      <c r="Q19">
        <f>IFERROR(HLOOKUP(LEFT(Q$1,4)&amp;"-"&amp;RIGHT(Q$1,2),DATA!$D$1:$HT$52,MATCH($A19,DATA!$B:$B,0),FALSE),0)</f>
        <v>126700</v>
      </c>
      <c r="R19">
        <f>IFERROR(HLOOKUP(LEFT(R$1,4)&amp;"-"&amp;RIGHT(R$1,2),DATA!$D$1:$HT$52,MATCH($A19,DATA!$B:$B,0),FALSE),0)</f>
        <v>135000</v>
      </c>
    </row>
    <row r="20" spans="1:18" x14ac:dyDescent="0.3">
      <c r="A20" t="s">
        <v>252</v>
      </c>
      <c r="B20">
        <f>IFERROR(HLOOKUP(LEFT(B$1,4)&amp;"-"&amp;RIGHT(B$1,2),DATA!$D$1:$HT$52,MATCH($A20,DATA!$B:$B,0),FALSE),0)</f>
        <v>89100</v>
      </c>
      <c r="C20">
        <f>IFERROR(HLOOKUP(LEFT(C$1,4)&amp;"-"&amp;RIGHT(C$1,2),DATA!$D$1:$HT$52,MATCH($A20,DATA!$B:$B,0),FALSE),0)</f>
        <v>91800</v>
      </c>
      <c r="D20">
        <f>IFERROR(HLOOKUP(LEFT(D$1,4)&amp;"-"&amp;RIGHT(D$1,2),DATA!$D$1:$HT$52,MATCH($A20,DATA!$B:$B,0),FALSE),0)</f>
        <v>98800</v>
      </c>
      <c r="E20">
        <f>IFERROR(HLOOKUP(LEFT(E$1,4)&amp;"-"&amp;RIGHT(E$1,2),DATA!$D$1:$HT$52,MATCH($A20,DATA!$B:$B,0),FALSE),0)</f>
        <v>104200</v>
      </c>
      <c r="F20">
        <f>IFERROR(HLOOKUP(LEFT(F$1,4)&amp;"-"&amp;RIGHT(F$1,2),DATA!$D$1:$HT$52,MATCH($A20,DATA!$B:$B,0),FALSE),0)</f>
        <v>111600</v>
      </c>
      <c r="G20">
        <f>IFERROR(HLOOKUP(LEFT(G$1,4)&amp;"-"&amp;RIGHT(G$1,2),DATA!$D$1:$HT$52,MATCH($A20,DATA!$B:$B,0),FALSE),0)</f>
        <v>118900</v>
      </c>
      <c r="H20">
        <f>IFERROR(HLOOKUP(LEFT(H$1,4)&amp;"-"&amp;RIGHT(H$1,2),DATA!$D$1:$HT$52,MATCH($A20,DATA!$B:$B,0),FALSE),0)</f>
        <v>123800</v>
      </c>
      <c r="I20">
        <f>IFERROR(HLOOKUP(LEFT(I$1,4)&amp;"-"&amp;RIGHT(I$1,2),DATA!$D$1:$HT$52,MATCH($A20,DATA!$B:$B,0),FALSE),0)</f>
        <v>124700</v>
      </c>
      <c r="J20">
        <f>IFERROR(HLOOKUP(LEFT(J$1,4)&amp;"-"&amp;RIGHT(J$1,2),DATA!$D$1:$HT$52,MATCH($A20,DATA!$B:$B,0),FALSE),0)</f>
        <v>125400</v>
      </c>
      <c r="K20">
        <f>IFERROR(HLOOKUP(LEFT(K$1,4)&amp;"-"&amp;RIGHT(K$1,2),DATA!$D$1:$HT$52,MATCH($A20,DATA!$B:$B,0),FALSE),0)</f>
        <v>123900</v>
      </c>
      <c r="L20">
        <f>IFERROR(HLOOKUP(LEFT(L$1,4)&amp;"-"&amp;RIGHT(L$1,2),DATA!$D$1:$HT$52,MATCH($A20,DATA!$B:$B,0),FALSE),0)</f>
        <v>118800</v>
      </c>
      <c r="M20">
        <f>IFERROR(HLOOKUP(LEFT(M$1,4)&amp;"-"&amp;RIGHT(M$1,2),DATA!$D$1:$HT$52,MATCH($A20,DATA!$B:$B,0),FALSE),0)</f>
        <v>119000</v>
      </c>
      <c r="N20">
        <f>IFERROR(HLOOKUP(LEFT(N$1,4)&amp;"-"&amp;RIGHT(N$1,2),DATA!$D$1:$HT$52,MATCH($A20,DATA!$B:$B,0),FALSE),0)</f>
        <v>122000</v>
      </c>
      <c r="O20">
        <f>IFERROR(HLOOKUP(LEFT(O$1,4)&amp;"-"&amp;RIGHT(O$1,2),DATA!$D$1:$HT$52,MATCH($A20,DATA!$B:$B,0),FALSE),0)</f>
        <v>125300</v>
      </c>
      <c r="P20">
        <f>IFERROR(HLOOKUP(LEFT(P$1,4)&amp;"-"&amp;RIGHT(P$1,2),DATA!$D$1:$HT$52,MATCH($A20,DATA!$B:$B,0),FALSE),0)</f>
        <v>129300</v>
      </c>
      <c r="Q20">
        <f>IFERROR(HLOOKUP(LEFT(Q$1,4)&amp;"-"&amp;RIGHT(Q$1,2),DATA!$D$1:$HT$52,MATCH($A20,DATA!$B:$B,0),FALSE),0)</f>
        <v>137500</v>
      </c>
      <c r="R20">
        <f>IFERROR(HLOOKUP(LEFT(R$1,4)&amp;"-"&amp;RIGHT(R$1,2),DATA!$D$1:$HT$52,MATCH($A20,DATA!$B:$B,0),FALSE),0)</f>
        <v>142300</v>
      </c>
    </row>
    <row r="21" spans="1:18" x14ac:dyDescent="0.3">
      <c r="A21" t="s">
        <v>268</v>
      </c>
      <c r="B21">
        <f>IFERROR(HLOOKUP(LEFT(B$1,4)&amp;"-"&amp;RIGHT(B$1,2),DATA!$D$1:$HT$52,MATCH($A21,DATA!$B:$B,0),FALSE),0)</f>
        <v>130900</v>
      </c>
      <c r="C21">
        <f>IFERROR(HLOOKUP(LEFT(C$1,4)&amp;"-"&amp;RIGHT(C$1,2),DATA!$D$1:$HT$52,MATCH($A21,DATA!$B:$B,0),FALSE),0)</f>
        <v>145200</v>
      </c>
      <c r="D21">
        <f>IFERROR(HLOOKUP(LEFT(D$1,4)&amp;"-"&amp;RIGHT(D$1,2),DATA!$D$1:$HT$52,MATCH($A21,DATA!$B:$B,0),FALSE),0)</f>
        <v>164500</v>
      </c>
      <c r="E21">
        <f>IFERROR(HLOOKUP(LEFT(E$1,4)&amp;"-"&amp;RIGHT(E$1,2),DATA!$D$1:$HT$52,MATCH($A21,DATA!$B:$B,0),FALSE),0)</f>
        <v>186600</v>
      </c>
      <c r="F21">
        <f>IFERROR(HLOOKUP(LEFT(F$1,4)&amp;"-"&amp;RIGHT(F$1,2),DATA!$D$1:$HT$52,MATCH($A21,DATA!$B:$B,0),FALSE),0)</f>
        <v>201800</v>
      </c>
      <c r="G21">
        <f>IFERROR(HLOOKUP(LEFT(G$1,4)&amp;"-"&amp;RIGHT(G$1,2),DATA!$D$1:$HT$52,MATCH($A21,DATA!$B:$B,0),FALSE),0)</f>
        <v>200100</v>
      </c>
      <c r="H21">
        <f>IFERROR(HLOOKUP(LEFT(H$1,4)&amp;"-"&amp;RIGHT(H$1,2),DATA!$D$1:$HT$52,MATCH($A21,DATA!$B:$B,0),FALSE),0)</f>
        <v>197800</v>
      </c>
      <c r="I21">
        <f>IFERROR(HLOOKUP(LEFT(I$1,4)&amp;"-"&amp;RIGHT(I$1,2),DATA!$D$1:$HT$52,MATCH($A21,DATA!$B:$B,0),FALSE),0)</f>
        <v>177500</v>
      </c>
      <c r="J21">
        <f>IFERROR(HLOOKUP(LEFT(J$1,4)&amp;"-"&amp;RIGHT(J$1,2),DATA!$D$1:$HT$52,MATCH($A21,DATA!$B:$B,0),FALSE),0)</f>
        <v>171800</v>
      </c>
      <c r="K21">
        <f>IFERROR(HLOOKUP(LEFT(K$1,4)&amp;"-"&amp;RIGHT(K$1,2),DATA!$D$1:$HT$52,MATCH($A21,DATA!$B:$B,0),FALSE),0)</f>
        <v>174700</v>
      </c>
      <c r="L21">
        <f>IFERROR(HLOOKUP(LEFT(L$1,4)&amp;"-"&amp;RIGHT(L$1,2),DATA!$D$1:$HT$52,MATCH($A21,DATA!$B:$B,0),FALSE),0)</f>
        <v>168300</v>
      </c>
      <c r="M21">
        <f>IFERROR(HLOOKUP(LEFT(M$1,4)&amp;"-"&amp;RIGHT(M$1,2),DATA!$D$1:$HT$52,MATCH($A21,DATA!$B:$B,0),FALSE),0)</f>
        <v>173100</v>
      </c>
      <c r="N21">
        <f>IFERROR(HLOOKUP(LEFT(N$1,4)&amp;"-"&amp;RIGHT(N$1,2),DATA!$D$1:$HT$52,MATCH($A21,DATA!$B:$B,0),FALSE),0)</f>
        <v>176800</v>
      </c>
      <c r="O21">
        <f>IFERROR(HLOOKUP(LEFT(O$1,4)&amp;"-"&amp;RIGHT(O$1,2),DATA!$D$1:$HT$52,MATCH($A21,DATA!$B:$B,0),FALSE),0)</f>
        <v>182600</v>
      </c>
      <c r="P21">
        <f>IFERROR(HLOOKUP(LEFT(P$1,4)&amp;"-"&amp;RIGHT(P$1,2),DATA!$D$1:$HT$52,MATCH($A21,DATA!$B:$B,0),FALSE),0)</f>
        <v>187400</v>
      </c>
      <c r="Q21">
        <f>IFERROR(HLOOKUP(LEFT(Q$1,4)&amp;"-"&amp;RIGHT(Q$1,2),DATA!$D$1:$HT$52,MATCH($A21,DATA!$B:$B,0),FALSE),0)</f>
        <v>201700</v>
      </c>
      <c r="R21">
        <f>IFERROR(HLOOKUP(LEFT(R$1,4)&amp;"-"&amp;RIGHT(R$1,2),DATA!$D$1:$HT$52,MATCH($A21,DATA!$B:$B,0),FALSE),0)</f>
        <v>216600</v>
      </c>
    </row>
    <row r="22" spans="1:18" x14ac:dyDescent="0.3">
      <c r="A22" t="s">
        <v>246</v>
      </c>
      <c r="B22">
        <f>IFERROR(HLOOKUP(LEFT(B$1,4)&amp;"-"&amp;RIGHT(B$1,2),DATA!$D$1:$HT$52,MATCH($A22,DATA!$B:$B,0),FALSE),0)</f>
        <v>159100</v>
      </c>
      <c r="C22">
        <f>IFERROR(HLOOKUP(LEFT(C$1,4)&amp;"-"&amp;RIGHT(C$1,2),DATA!$D$1:$HT$52,MATCH($A22,DATA!$B:$B,0),FALSE),0)</f>
        <v>181200</v>
      </c>
      <c r="D22">
        <f>IFERROR(HLOOKUP(LEFT(D$1,4)&amp;"-"&amp;RIGHT(D$1,2),DATA!$D$1:$HT$52,MATCH($A22,DATA!$B:$B,0),FALSE),0)</f>
        <v>211800</v>
      </c>
      <c r="E22">
        <f>IFERROR(HLOOKUP(LEFT(E$1,4)&amp;"-"&amp;RIGHT(E$1,2),DATA!$D$1:$HT$52,MATCH($A22,DATA!$B:$B,0),FALSE),0)</f>
        <v>263900</v>
      </c>
      <c r="F22">
        <f>IFERROR(HLOOKUP(LEFT(F$1,4)&amp;"-"&amp;RIGHT(F$1,2),DATA!$D$1:$HT$52,MATCH($A22,DATA!$B:$B,0),FALSE),0)</f>
        <v>317000</v>
      </c>
      <c r="G22">
        <f>IFERROR(HLOOKUP(LEFT(G$1,4)&amp;"-"&amp;RIGHT(G$1,2),DATA!$D$1:$HT$52,MATCH($A22,DATA!$B:$B,0),FALSE),0)</f>
        <v>334800</v>
      </c>
      <c r="H22">
        <f>IFERROR(HLOOKUP(LEFT(H$1,4)&amp;"-"&amp;RIGHT(H$1,2),DATA!$D$1:$HT$52,MATCH($A22,DATA!$B:$B,0),FALSE),0)</f>
        <v>317100</v>
      </c>
      <c r="I22">
        <f>IFERROR(HLOOKUP(LEFT(I$1,4)&amp;"-"&amp;RIGHT(I$1,2),DATA!$D$1:$HT$52,MATCH($A22,DATA!$B:$B,0),FALSE),0)</f>
        <v>278800</v>
      </c>
      <c r="J22">
        <f>IFERROR(HLOOKUP(LEFT(J$1,4)&amp;"-"&amp;RIGHT(J$1,2),DATA!$D$1:$HT$52,MATCH($A22,DATA!$B:$B,0),FALSE),0)</f>
        <v>251600</v>
      </c>
      <c r="K22">
        <f>IFERROR(HLOOKUP(LEFT(K$1,4)&amp;"-"&amp;RIGHT(K$1,2),DATA!$D$1:$HT$52,MATCH($A22,DATA!$B:$B,0),FALSE),0)</f>
        <v>237600</v>
      </c>
      <c r="L22">
        <f>IFERROR(HLOOKUP(LEFT(L$1,4)&amp;"-"&amp;RIGHT(L$1,2),DATA!$D$1:$HT$52,MATCH($A22,DATA!$B:$B,0),FALSE),0)</f>
        <v>222200</v>
      </c>
      <c r="M22">
        <f>IFERROR(HLOOKUP(LEFT(M$1,4)&amp;"-"&amp;RIGHT(M$1,2),DATA!$D$1:$HT$52,MATCH($A22,DATA!$B:$B,0),FALSE),0)</f>
        <v>229000</v>
      </c>
      <c r="N22">
        <f>IFERROR(HLOOKUP(LEFT(N$1,4)&amp;"-"&amp;RIGHT(N$1,2),DATA!$D$1:$HT$52,MATCH($A22,DATA!$B:$B,0),FALSE),0)</f>
        <v>241700</v>
      </c>
      <c r="O22">
        <f>IFERROR(HLOOKUP(LEFT(O$1,4)&amp;"-"&amp;RIGHT(O$1,2),DATA!$D$1:$HT$52,MATCH($A22,DATA!$B:$B,0),FALSE),0)</f>
        <v>247700</v>
      </c>
      <c r="P22">
        <f>IFERROR(HLOOKUP(LEFT(P$1,4)&amp;"-"&amp;RIGHT(P$1,2),DATA!$D$1:$HT$52,MATCH($A22,DATA!$B:$B,0),FALSE),0)</f>
        <v>252900</v>
      </c>
      <c r="Q22">
        <f>IFERROR(HLOOKUP(LEFT(Q$1,4)&amp;"-"&amp;RIGHT(Q$1,2),DATA!$D$1:$HT$52,MATCH($A22,DATA!$B:$B,0),FALSE),0)</f>
        <v>265000</v>
      </c>
      <c r="R22">
        <f>IFERROR(HLOOKUP(LEFT(R$1,4)&amp;"-"&amp;RIGHT(R$1,2),DATA!$D$1:$HT$52,MATCH($A22,DATA!$B:$B,0),FALSE),0)</f>
        <v>275800</v>
      </c>
    </row>
    <row r="23" spans="1:18" x14ac:dyDescent="0.3">
      <c r="A23" t="s">
        <v>241</v>
      </c>
      <c r="B23">
        <f>IFERROR(HLOOKUP(LEFT(B$1,4)&amp;"-"&amp;RIGHT(B$1,2),DATA!$D$1:$HT$52,MATCH($A23,DATA!$B:$B,0),FALSE),0)</f>
        <v>252800</v>
      </c>
      <c r="C23">
        <f>IFERROR(HLOOKUP(LEFT(C$1,4)&amp;"-"&amp;RIGHT(C$1,2),DATA!$D$1:$HT$52,MATCH($A23,DATA!$B:$B,0),FALSE),0)</f>
        <v>287300</v>
      </c>
      <c r="D23">
        <f>IFERROR(HLOOKUP(LEFT(D$1,4)&amp;"-"&amp;RIGHT(D$1,2),DATA!$D$1:$HT$52,MATCH($A23,DATA!$B:$B,0),FALSE),0)</f>
        <v>316300</v>
      </c>
      <c r="E23">
        <f>IFERROR(HLOOKUP(LEFT(E$1,4)&amp;"-"&amp;RIGHT(E$1,2),DATA!$D$1:$HT$52,MATCH($A23,DATA!$B:$B,0),FALSE),0)</f>
        <v>347600</v>
      </c>
      <c r="F23">
        <f>IFERROR(HLOOKUP(LEFT(F$1,4)&amp;"-"&amp;RIGHT(F$1,2),DATA!$D$1:$HT$52,MATCH($A23,DATA!$B:$B,0),FALSE),0)</f>
        <v>359600</v>
      </c>
      <c r="G23">
        <f>IFERROR(HLOOKUP(LEFT(G$1,4)&amp;"-"&amp;RIGHT(G$1,2),DATA!$D$1:$HT$52,MATCH($A23,DATA!$B:$B,0),FALSE),0)</f>
        <v>340400</v>
      </c>
      <c r="H23">
        <f>IFERROR(HLOOKUP(LEFT(H$1,4)&amp;"-"&amp;RIGHT(H$1,2),DATA!$D$1:$HT$52,MATCH($A23,DATA!$B:$B,0),FALSE),0)</f>
        <v>323900</v>
      </c>
      <c r="I23">
        <f>IFERROR(HLOOKUP(LEFT(I$1,4)&amp;"-"&amp;RIGHT(I$1,2),DATA!$D$1:$HT$52,MATCH($A23,DATA!$B:$B,0),FALSE),0)</f>
        <v>300700</v>
      </c>
      <c r="J23">
        <f>IFERROR(HLOOKUP(LEFT(J$1,4)&amp;"-"&amp;RIGHT(J$1,2),DATA!$D$1:$HT$52,MATCH($A23,DATA!$B:$B,0),FALSE),0)</f>
        <v>292500</v>
      </c>
      <c r="K23">
        <f>IFERROR(HLOOKUP(LEFT(K$1,4)&amp;"-"&amp;RIGHT(K$1,2),DATA!$D$1:$HT$52,MATCH($A23,DATA!$B:$B,0),FALSE),0)</f>
        <v>288200</v>
      </c>
      <c r="L23">
        <f>IFERROR(HLOOKUP(LEFT(L$1,4)&amp;"-"&amp;RIGHT(L$1,2),DATA!$D$1:$HT$52,MATCH($A23,DATA!$B:$B,0),FALSE),0)</f>
        <v>276600</v>
      </c>
      <c r="M23">
        <f>IFERROR(HLOOKUP(LEFT(M$1,4)&amp;"-"&amp;RIGHT(M$1,2),DATA!$D$1:$HT$52,MATCH($A23,DATA!$B:$B,0),FALSE),0)</f>
        <v>284300</v>
      </c>
      <c r="N23">
        <f>IFERROR(HLOOKUP(LEFT(N$1,4)&amp;"-"&amp;RIGHT(N$1,2),DATA!$D$1:$HT$52,MATCH($A23,DATA!$B:$B,0),FALSE),0)</f>
        <v>305300</v>
      </c>
      <c r="O23">
        <f>IFERROR(HLOOKUP(LEFT(O$1,4)&amp;"-"&amp;RIGHT(O$1,2),DATA!$D$1:$HT$52,MATCH($A23,DATA!$B:$B,0),FALSE),0)</f>
        <v>319700</v>
      </c>
      <c r="P23">
        <f>IFERROR(HLOOKUP(LEFT(P$1,4)&amp;"-"&amp;RIGHT(P$1,2),DATA!$D$1:$HT$52,MATCH($A23,DATA!$B:$B,0),FALSE),0)</f>
        <v>333700</v>
      </c>
      <c r="Q23">
        <f>IFERROR(HLOOKUP(LEFT(Q$1,4)&amp;"-"&amp;RIGHT(Q$1,2),DATA!$D$1:$HT$52,MATCH($A23,DATA!$B:$B,0),FALSE),0)</f>
        <v>358100</v>
      </c>
      <c r="R23">
        <f>IFERROR(HLOOKUP(LEFT(R$1,4)&amp;"-"&amp;RIGHT(R$1,2),DATA!$D$1:$HT$52,MATCH($A23,DATA!$B:$B,0),FALSE),0)</f>
        <v>384000</v>
      </c>
    </row>
    <row r="24" spans="1:18" x14ac:dyDescent="0.3">
      <c r="A24" t="s">
        <v>235</v>
      </c>
      <c r="B24">
        <f>IFERROR(HLOOKUP(LEFT(B$1,4)&amp;"-"&amp;RIGHT(B$1,2),DATA!$D$1:$HT$52,MATCH($A24,DATA!$B:$B,0),FALSE),0)</f>
        <v>117100</v>
      </c>
      <c r="C24">
        <f>IFERROR(HLOOKUP(LEFT(C$1,4)&amp;"-"&amp;RIGHT(C$1,2),DATA!$D$1:$HT$52,MATCH($A24,DATA!$B:$B,0),FALSE),0)</f>
        <v>123100</v>
      </c>
      <c r="D24">
        <f>IFERROR(HLOOKUP(LEFT(D$1,4)&amp;"-"&amp;RIGHT(D$1,2),DATA!$D$1:$HT$52,MATCH($A24,DATA!$B:$B,0),FALSE),0)</f>
        <v>127300</v>
      </c>
      <c r="E24">
        <f>IFERROR(HLOOKUP(LEFT(E$1,4)&amp;"-"&amp;RIGHT(E$1,2),DATA!$D$1:$HT$52,MATCH($A24,DATA!$B:$B,0),FALSE),0)</f>
        <v>133400</v>
      </c>
      <c r="F24">
        <f>IFERROR(HLOOKUP(LEFT(F$1,4)&amp;"-"&amp;RIGHT(F$1,2),DATA!$D$1:$HT$52,MATCH($A24,DATA!$B:$B,0),FALSE),0)</f>
        <v>137300</v>
      </c>
      <c r="G24">
        <f>IFERROR(HLOOKUP(LEFT(G$1,4)&amp;"-"&amp;RIGHT(G$1,2),DATA!$D$1:$HT$52,MATCH($A24,DATA!$B:$B,0),FALSE),0)</f>
        <v>134400</v>
      </c>
      <c r="H24">
        <f>IFERROR(HLOOKUP(LEFT(H$1,4)&amp;"-"&amp;RIGHT(H$1,2),DATA!$D$1:$HT$52,MATCH($A24,DATA!$B:$B,0),FALSE),0)</f>
        <v>124200</v>
      </c>
      <c r="I24">
        <f>IFERROR(HLOOKUP(LEFT(I$1,4)&amp;"-"&amp;RIGHT(I$1,2),DATA!$D$1:$HT$52,MATCH($A24,DATA!$B:$B,0),FALSE),0)</f>
        <v>107000</v>
      </c>
      <c r="J24">
        <f>IFERROR(HLOOKUP(LEFT(J$1,4)&amp;"-"&amp;RIGHT(J$1,2),DATA!$D$1:$HT$52,MATCH($A24,DATA!$B:$B,0),FALSE),0)</f>
        <v>92000</v>
      </c>
      <c r="K24">
        <f>IFERROR(HLOOKUP(LEFT(K$1,4)&amp;"-"&amp;RIGHT(K$1,2),DATA!$D$1:$HT$52,MATCH($A24,DATA!$B:$B,0),FALSE),0)</f>
        <v>86600</v>
      </c>
      <c r="L24">
        <f>IFERROR(HLOOKUP(LEFT(L$1,4)&amp;"-"&amp;RIGHT(L$1,2),DATA!$D$1:$HT$52,MATCH($A24,DATA!$B:$B,0),FALSE),0)</f>
        <v>81800</v>
      </c>
      <c r="M24">
        <f>IFERROR(HLOOKUP(LEFT(M$1,4)&amp;"-"&amp;RIGHT(M$1,2),DATA!$D$1:$HT$52,MATCH($A24,DATA!$B:$B,0),FALSE),0)</f>
        <v>87000</v>
      </c>
      <c r="N24">
        <f>IFERROR(HLOOKUP(LEFT(N$1,4)&amp;"-"&amp;RIGHT(N$1,2),DATA!$D$1:$HT$52,MATCH($A24,DATA!$B:$B,0),FALSE),0)</f>
        <v>97500</v>
      </c>
      <c r="O24">
        <f>IFERROR(HLOOKUP(LEFT(O$1,4)&amp;"-"&amp;RIGHT(O$1,2),DATA!$D$1:$HT$52,MATCH($A24,DATA!$B:$B,0),FALSE),0)</f>
        <v>107400</v>
      </c>
      <c r="P24">
        <f>IFERROR(HLOOKUP(LEFT(P$1,4)&amp;"-"&amp;RIGHT(P$1,2),DATA!$D$1:$HT$52,MATCH($A24,DATA!$B:$B,0),FALSE),0)</f>
        <v>116600</v>
      </c>
      <c r="Q24">
        <f>IFERROR(HLOOKUP(LEFT(Q$1,4)&amp;"-"&amp;RIGHT(Q$1,2),DATA!$D$1:$HT$52,MATCH($A24,DATA!$B:$B,0),FALSE),0)</f>
        <v>127000</v>
      </c>
      <c r="R24">
        <f>IFERROR(HLOOKUP(LEFT(R$1,4)&amp;"-"&amp;RIGHT(R$1,2),DATA!$D$1:$HT$52,MATCH($A24,DATA!$B:$B,0),FALSE),0)</f>
        <v>137500</v>
      </c>
    </row>
    <row r="25" spans="1:18" x14ac:dyDescent="0.3">
      <c r="A25" t="s">
        <v>248</v>
      </c>
      <c r="B25">
        <f>IFERROR(HLOOKUP(LEFT(B$1,4)&amp;"-"&amp;RIGHT(B$1,2),DATA!$D$1:$HT$52,MATCH($A25,DATA!$B:$B,0),FALSE),0)</f>
        <v>155400</v>
      </c>
      <c r="C25">
        <f>IFERROR(HLOOKUP(LEFT(C$1,4)&amp;"-"&amp;RIGHT(C$1,2),DATA!$D$1:$HT$52,MATCH($A25,DATA!$B:$B,0),FALSE),0)</f>
        <v>170400</v>
      </c>
      <c r="D25">
        <f>IFERROR(HLOOKUP(LEFT(D$1,4)&amp;"-"&amp;RIGHT(D$1,2),DATA!$D$1:$HT$52,MATCH($A25,DATA!$B:$B,0),FALSE),0)</f>
        <v>184300</v>
      </c>
      <c r="E25">
        <f>IFERROR(HLOOKUP(LEFT(E$1,4)&amp;"-"&amp;RIGHT(E$1,2),DATA!$D$1:$HT$52,MATCH($A25,DATA!$B:$B,0),FALSE),0)</f>
        <v>198300</v>
      </c>
      <c r="F25">
        <f>IFERROR(HLOOKUP(LEFT(F$1,4)&amp;"-"&amp;RIGHT(F$1,2),DATA!$D$1:$HT$52,MATCH($A25,DATA!$B:$B,0),FALSE),0)</f>
        <v>209200</v>
      </c>
      <c r="G25">
        <f>IFERROR(HLOOKUP(LEFT(G$1,4)&amp;"-"&amp;RIGHT(G$1,2),DATA!$D$1:$HT$52,MATCH($A25,DATA!$B:$B,0),FALSE),0)</f>
        <v>206400</v>
      </c>
      <c r="H25">
        <f>IFERROR(HLOOKUP(LEFT(H$1,4)&amp;"-"&amp;RIGHT(H$1,2),DATA!$D$1:$HT$52,MATCH($A25,DATA!$B:$B,0),FALSE),0)</f>
        <v>197600</v>
      </c>
      <c r="I25">
        <f>IFERROR(HLOOKUP(LEFT(I$1,4)&amp;"-"&amp;RIGHT(I$1,2),DATA!$D$1:$HT$52,MATCH($A25,DATA!$B:$B,0),FALSE),0)</f>
        <v>177800</v>
      </c>
      <c r="J25">
        <f>IFERROR(HLOOKUP(LEFT(J$1,4)&amp;"-"&amp;RIGHT(J$1,2),DATA!$D$1:$HT$52,MATCH($A25,DATA!$B:$B,0),FALSE),0)</f>
        <v>166700</v>
      </c>
      <c r="K25">
        <f>IFERROR(HLOOKUP(LEFT(K$1,4)&amp;"-"&amp;RIGHT(K$1,2),DATA!$D$1:$HT$52,MATCH($A25,DATA!$B:$B,0),FALSE),0)</f>
        <v>157600</v>
      </c>
      <c r="L25">
        <f>IFERROR(HLOOKUP(LEFT(L$1,4)&amp;"-"&amp;RIGHT(L$1,2),DATA!$D$1:$HT$52,MATCH($A25,DATA!$B:$B,0),FALSE),0)</f>
        <v>147300</v>
      </c>
      <c r="M25">
        <f>IFERROR(HLOOKUP(LEFT(M$1,4)&amp;"-"&amp;RIGHT(M$1,2),DATA!$D$1:$HT$52,MATCH($A25,DATA!$B:$B,0),FALSE),0)</f>
        <v>155300</v>
      </c>
      <c r="N25">
        <f>IFERROR(HLOOKUP(LEFT(N$1,4)&amp;"-"&amp;RIGHT(N$1,2),DATA!$D$1:$HT$52,MATCH($A25,DATA!$B:$B,0),FALSE),0)</f>
        <v>169000</v>
      </c>
      <c r="O25">
        <f>IFERROR(HLOOKUP(LEFT(O$1,4)&amp;"-"&amp;RIGHT(O$1,2),DATA!$D$1:$HT$52,MATCH($A25,DATA!$B:$B,0),FALSE),0)</f>
        <v>176600</v>
      </c>
      <c r="P25">
        <f>IFERROR(HLOOKUP(LEFT(P$1,4)&amp;"-"&amp;RIGHT(P$1,2),DATA!$D$1:$HT$52,MATCH($A25,DATA!$B:$B,0),FALSE),0)</f>
        <v>187600</v>
      </c>
      <c r="Q25">
        <f>IFERROR(HLOOKUP(LEFT(Q$1,4)&amp;"-"&amp;RIGHT(Q$1,2),DATA!$D$1:$HT$52,MATCH($A25,DATA!$B:$B,0),FALSE),0)</f>
        <v>202400</v>
      </c>
      <c r="R25">
        <f>IFERROR(HLOOKUP(LEFT(R$1,4)&amp;"-"&amp;RIGHT(R$1,2),DATA!$D$1:$HT$52,MATCH($A25,DATA!$B:$B,0),FALSE),0)</f>
        <v>218700</v>
      </c>
    </row>
    <row r="26" spans="1:18" x14ac:dyDescent="0.3">
      <c r="A26" t="s">
        <v>258</v>
      </c>
      <c r="B26">
        <f>IFERROR(HLOOKUP(LEFT(B$1,4)&amp;"-"&amp;RIGHT(B$1,2),DATA!$D$1:$HT$52,MATCH($A26,DATA!$B:$B,0),FALSE),0)</f>
        <v>68500</v>
      </c>
      <c r="C26">
        <f>IFERROR(HLOOKUP(LEFT(C$1,4)&amp;"-"&amp;RIGHT(C$1,2),DATA!$D$1:$HT$52,MATCH($A26,DATA!$B:$B,0),FALSE),0)</f>
        <v>69700</v>
      </c>
      <c r="D26">
        <f>IFERROR(HLOOKUP(LEFT(D$1,4)&amp;"-"&amp;RIGHT(D$1,2),DATA!$D$1:$HT$52,MATCH($A26,DATA!$B:$B,0),FALSE),0)</f>
        <v>69800</v>
      </c>
      <c r="E26">
        <f>IFERROR(HLOOKUP(LEFT(E$1,4)&amp;"-"&amp;RIGHT(E$1,2),DATA!$D$1:$HT$52,MATCH($A26,DATA!$B:$B,0),FALSE),0)</f>
        <v>82500</v>
      </c>
      <c r="F26">
        <f>IFERROR(HLOOKUP(LEFT(F$1,4)&amp;"-"&amp;RIGHT(F$1,2),DATA!$D$1:$HT$52,MATCH($A26,DATA!$B:$B,0),FALSE),0)</f>
        <v>100500</v>
      </c>
      <c r="G26">
        <f>IFERROR(HLOOKUP(LEFT(G$1,4)&amp;"-"&amp;RIGHT(G$1,2),DATA!$D$1:$HT$52,MATCH($A26,DATA!$B:$B,0),FALSE),0)</f>
        <v>114300</v>
      </c>
      <c r="H26">
        <f>IFERROR(HLOOKUP(LEFT(H$1,4)&amp;"-"&amp;RIGHT(H$1,2),DATA!$D$1:$HT$52,MATCH($A26,DATA!$B:$B,0),FALSE),0)</f>
        <v>115600</v>
      </c>
      <c r="I26">
        <f>IFERROR(HLOOKUP(LEFT(I$1,4)&amp;"-"&amp;RIGHT(I$1,2),DATA!$D$1:$HT$52,MATCH($A26,DATA!$B:$B,0),FALSE),0)</f>
        <v>111100</v>
      </c>
      <c r="J26">
        <f>IFERROR(HLOOKUP(LEFT(J$1,4)&amp;"-"&amp;RIGHT(J$1,2),DATA!$D$1:$HT$52,MATCH($A26,DATA!$B:$B,0),FALSE),0)</f>
        <v>110500</v>
      </c>
      <c r="K26">
        <f>IFERROR(HLOOKUP(LEFT(K$1,4)&amp;"-"&amp;RIGHT(K$1,2),DATA!$D$1:$HT$52,MATCH($A26,DATA!$B:$B,0),FALSE),0)</f>
        <v>114700</v>
      </c>
      <c r="L26">
        <f>IFERROR(HLOOKUP(LEFT(L$1,4)&amp;"-"&amp;RIGHT(L$1,2),DATA!$D$1:$HT$52,MATCH($A26,DATA!$B:$B,0),FALSE),0)</f>
        <v>105200</v>
      </c>
      <c r="M26">
        <f>IFERROR(HLOOKUP(LEFT(M$1,4)&amp;"-"&amp;RIGHT(M$1,2),DATA!$D$1:$HT$52,MATCH($A26,DATA!$B:$B,0),FALSE),0)</f>
        <v>102900</v>
      </c>
      <c r="N26">
        <f>IFERROR(HLOOKUP(LEFT(N$1,4)&amp;"-"&amp;RIGHT(N$1,2),DATA!$D$1:$HT$52,MATCH($A26,DATA!$B:$B,0),FALSE),0)</f>
        <v>99100</v>
      </c>
      <c r="O26">
        <f>IFERROR(HLOOKUP(LEFT(O$1,4)&amp;"-"&amp;RIGHT(O$1,2),DATA!$D$1:$HT$52,MATCH($A26,DATA!$B:$B,0),FALSE),0)</f>
        <v>99700</v>
      </c>
      <c r="P26">
        <f>IFERROR(HLOOKUP(LEFT(P$1,4)&amp;"-"&amp;RIGHT(P$1,2),DATA!$D$1:$HT$52,MATCH($A26,DATA!$B:$B,0),FALSE),0)</f>
        <v>106600</v>
      </c>
      <c r="Q26">
        <f>IFERROR(HLOOKUP(LEFT(Q$1,4)&amp;"-"&amp;RIGHT(Q$1,2),DATA!$D$1:$HT$52,MATCH($A26,DATA!$B:$B,0),FALSE),0)</f>
        <v>114700</v>
      </c>
      <c r="R26">
        <f>IFERROR(HLOOKUP(LEFT(R$1,4)&amp;"-"&amp;RIGHT(R$1,2),DATA!$D$1:$HT$52,MATCH($A26,DATA!$B:$B,0),FALSE),0)</f>
        <v>117000</v>
      </c>
    </row>
    <row r="27" spans="1:18" x14ac:dyDescent="0.3">
      <c r="A27" t="s">
        <v>245</v>
      </c>
      <c r="B27">
        <f>IFERROR(HLOOKUP(LEFT(B$1,4)&amp;"-"&amp;RIGHT(B$1,2),DATA!$D$1:$HT$52,MATCH($A27,DATA!$B:$B,0),FALSE),0)</f>
        <v>112400</v>
      </c>
      <c r="C27">
        <f>IFERROR(HLOOKUP(LEFT(C$1,4)&amp;"-"&amp;RIGHT(C$1,2),DATA!$D$1:$HT$52,MATCH($A27,DATA!$B:$B,0),FALSE),0)</f>
        <v>119600</v>
      </c>
      <c r="D27">
        <f>IFERROR(HLOOKUP(LEFT(D$1,4)&amp;"-"&amp;RIGHT(D$1,2),DATA!$D$1:$HT$52,MATCH($A27,DATA!$B:$B,0),FALSE),0)</f>
        <v>125000</v>
      </c>
      <c r="E27">
        <f>IFERROR(HLOOKUP(LEFT(E$1,4)&amp;"-"&amp;RIGHT(E$1,2),DATA!$D$1:$HT$52,MATCH($A27,DATA!$B:$B,0),FALSE),0)</f>
        <v>128400</v>
      </c>
      <c r="F27">
        <f>IFERROR(HLOOKUP(LEFT(F$1,4)&amp;"-"&amp;RIGHT(F$1,2),DATA!$D$1:$HT$52,MATCH($A27,DATA!$B:$B,0),FALSE),0)</f>
        <v>135700</v>
      </c>
      <c r="G27">
        <f>IFERROR(HLOOKUP(LEFT(G$1,4)&amp;"-"&amp;RIGHT(G$1,2),DATA!$D$1:$HT$52,MATCH($A27,DATA!$B:$B,0),FALSE),0)</f>
        <v>139600</v>
      </c>
      <c r="H27">
        <f>IFERROR(HLOOKUP(LEFT(H$1,4)&amp;"-"&amp;RIGHT(H$1,2),DATA!$D$1:$HT$52,MATCH($A27,DATA!$B:$B,0),FALSE),0)</f>
        <v>138800</v>
      </c>
      <c r="I27">
        <f>IFERROR(HLOOKUP(LEFT(I$1,4)&amp;"-"&amp;RIGHT(I$1,2),DATA!$D$1:$HT$52,MATCH($A27,DATA!$B:$B,0),FALSE),0)</f>
        <v>134700</v>
      </c>
      <c r="J27">
        <f>IFERROR(HLOOKUP(LEFT(J$1,4)&amp;"-"&amp;RIGHT(J$1,2),DATA!$D$1:$HT$52,MATCH($A27,DATA!$B:$B,0),FALSE),0)</f>
        <v>130100</v>
      </c>
      <c r="K27">
        <f>IFERROR(HLOOKUP(LEFT(K$1,4)&amp;"-"&amp;RIGHT(K$1,2),DATA!$D$1:$HT$52,MATCH($A27,DATA!$B:$B,0),FALSE),0)</f>
        <v>127000</v>
      </c>
      <c r="L27">
        <f>IFERROR(HLOOKUP(LEFT(L$1,4)&amp;"-"&amp;RIGHT(L$1,2),DATA!$D$1:$HT$52,MATCH($A27,DATA!$B:$B,0),FALSE),0)</f>
        <v>121800</v>
      </c>
      <c r="M27">
        <f>IFERROR(HLOOKUP(LEFT(M$1,4)&amp;"-"&amp;RIGHT(M$1,2),DATA!$D$1:$HT$52,MATCH($A27,DATA!$B:$B,0),FALSE),0)</f>
        <v>122000</v>
      </c>
      <c r="N27">
        <f>IFERROR(HLOOKUP(LEFT(N$1,4)&amp;"-"&amp;RIGHT(N$1,2),DATA!$D$1:$HT$52,MATCH($A27,DATA!$B:$B,0),FALSE),0)</f>
        <v>124500</v>
      </c>
      <c r="O27">
        <f>IFERROR(HLOOKUP(LEFT(O$1,4)&amp;"-"&amp;RIGHT(O$1,2),DATA!$D$1:$HT$52,MATCH($A27,DATA!$B:$B,0),FALSE),0)</f>
        <v>126600</v>
      </c>
      <c r="P27">
        <f>IFERROR(HLOOKUP(LEFT(P$1,4)&amp;"-"&amp;RIGHT(P$1,2),DATA!$D$1:$HT$52,MATCH($A27,DATA!$B:$B,0),FALSE),0)</f>
        <v>132700</v>
      </c>
      <c r="Q27">
        <f>IFERROR(HLOOKUP(LEFT(Q$1,4)&amp;"-"&amp;RIGHT(Q$1,2),DATA!$D$1:$HT$52,MATCH($A27,DATA!$B:$B,0),FALSE),0)</f>
        <v>138900</v>
      </c>
      <c r="R27">
        <f>IFERROR(HLOOKUP(LEFT(R$1,4)&amp;"-"&amp;RIGHT(R$1,2),DATA!$D$1:$HT$52,MATCH($A27,DATA!$B:$B,0),FALSE),0)</f>
        <v>147100</v>
      </c>
    </row>
    <row r="28" spans="1:18" x14ac:dyDescent="0.3">
      <c r="A28" t="s">
        <v>271</v>
      </c>
      <c r="B28">
        <f>IFERROR(HLOOKUP(LEFT(B$1,4)&amp;"-"&amp;RIGHT(B$1,2),DATA!$D$1:$HT$52,MATCH($A28,DATA!$B:$B,0),FALSE),0)</f>
        <v>141400</v>
      </c>
      <c r="C28">
        <f>IFERROR(HLOOKUP(LEFT(C$1,4)&amp;"-"&amp;RIGHT(C$1,2),DATA!$D$1:$HT$52,MATCH($A28,DATA!$B:$B,0),FALSE),0)</f>
        <v>146200</v>
      </c>
      <c r="D28">
        <f>IFERROR(HLOOKUP(LEFT(D$1,4)&amp;"-"&amp;RIGHT(D$1,2),DATA!$D$1:$HT$52,MATCH($A28,DATA!$B:$B,0),FALSE),0)</f>
        <v>138400</v>
      </c>
      <c r="E28">
        <f>IFERROR(HLOOKUP(LEFT(E$1,4)&amp;"-"&amp;RIGHT(E$1,2),DATA!$D$1:$HT$52,MATCH($A28,DATA!$B:$B,0),FALSE),0)</f>
        <v>149800</v>
      </c>
      <c r="F28">
        <f>IFERROR(HLOOKUP(LEFT(F$1,4)&amp;"-"&amp;RIGHT(F$1,2),DATA!$D$1:$HT$52,MATCH($A28,DATA!$B:$B,0),FALSE),0)</f>
        <v>161000</v>
      </c>
      <c r="G28">
        <f>IFERROR(HLOOKUP(LEFT(G$1,4)&amp;"-"&amp;RIGHT(G$1,2),DATA!$D$1:$HT$52,MATCH($A28,DATA!$B:$B,0),FALSE),0)</f>
        <v>173000</v>
      </c>
      <c r="H28">
        <f>IFERROR(HLOOKUP(LEFT(H$1,4)&amp;"-"&amp;RIGHT(H$1,2),DATA!$D$1:$HT$52,MATCH($A28,DATA!$B:$B,0),FALSE),0)</f>
        <v>180600</v>
      </c>
      <c r="I28">
        <f>IFERROR(HLOOKUP(LEFT(I$1,4)&amp;"-"&amp;RIGHT(I$1,2),DATA!$D$1:$HT$52,MATCH($A28,DATA!$B:$B,0),FALSE),0)</f>
        <v>182400</v>
      </c>
      <c r="J28">
        <f>IFERROR(HLOOKUP(LEFT(J$1,4)&amp;"-"&amp;RIGHT(J$1,2),DATA!$D$1:$HT$52,MATCH($A28,DATA!$B:$B,0),FALSE),0)</f>
        <v>180700</v>
      </c>
      <c r="K28">
        <f>IFERROR(HLOOKUP(LEFT(K$1,4)&amp;"-"&amp;RIGHT(K$1,2),DATA!$D$1:$HT$52,MATCH($A28,DATA!$B:$B,0),FALSE),0)</f>
        <v>180500</v>
      </c>
      <c r="L28">
        <f>IFERROR(HLOOKUP(LEFT(L$1,4)&amp;"-"&amp;RIGHT(L$1,2),DATA!$D$1:$HT$52,MATCH($A28,DATA!$B:$B,0),FALSE),0)</f>
        <v>178100</v>
      </c>
      <c r="M28">
        <f>IFERROR(HLOOKUP(LEFT(M$1,4)&amp;"-"&amp;RIGHT(M$1,2),DATA!$D$1:$HT$52,MATCH($A28,DATA!$B:$B,0),FALSE),0)</f>
        <v>182600</v>
      </c>
      <c r="N28">
        <f>IFERROR(HLOOKUP(LEFT(N$1,4)&amp;"-"&amp;RIGHT(N$1,2),DATA!$D$1:$HT$52,MATCH($A28,DATA!$B:$B,0),FALSE),0)</f>
        <v>187500</v>
      </c>
      <c r="O28">
        <f>IFERROR(HLOOKUP(LEFT(O$1,4)&amp;"-"&amp;RIGHT(O$1,2),DATA!$D$1:$HT$52,MATCH($A28,DATA!$B:$B,0),FALSE),0)</f>
        <v>192300</v>
      </c>
      <c r="P28">
        <f>IFERROR(HLOOKUP(LEFT(P$1,4)&amp;"-"&amp;RIGHT(P$1,2),DATA!$D$1:$HT$52,MATCH($A28,DATA!$B:$B,0),FALSE),0)</f>
        <v>197300</v>
      </c>
      <c r="Q28">
        <f>IFERROR(HLOOKUP(LEFT(Q$1,4)&amp;"-"&amp;RIGHT(Q$1,2),DATA!$D$1:$HT$52,MATCH($A28,DATA!$B:$B,0),FALSE),0)</f>
        <v>208400</v>
      </c>
      <c r="R28">
        <f>IFERROR(HLOOKUP(LEFT(R$1,4)&amp;"-"&amp;RIGHT(R$1,2),DATA!$D$1:$HT$52,MATCH($A28,DATA!$B:$B,0),FALSE),0)</f>
        <v>214500</v>
      </c>
    </row>
    <row r="29" spans="1:18" x14ac:dyDescent="0.3">
      <c r="A29" t="s">
        <v>265</v>
      </c>
      <c r="B29">
        <f>IFERROR(HLOOKUP(LEFT(B$1,4)&amp;"-"&amp;RIGHT(B$1,2),DATA!$D$1:$HT$52,MATCH($A29,DATA!$B:$B,0),FALSE),0)</f>
        <v>93100</v>
      </c>
      <c r="C29">
        <f>IFERROR(HLOOKUP(LEFT(C$1,4)&amp;"-"&amp;RIGHT(C$1,2),DATA!$D$1:$HT$52,MATCH($A29,DATA!$B:$B,0),FALSE),0)</f>
        <v>97000</v>
      </c>
      <c r="D29">
        <f>IFERROR(HLOOKUP(LEFT(D$1,4)&amp;"-"&amp;RIGHT(D$1,2),DATA!$D$1:$HT$52,MATCH($A29,DATA!$B:$B,0),FALSE),0)</f>
        <v>104200</v>
      </c>
      <c r="E29">
        <f>IFERROR(HLOOKUP(LEFT(E$1,4)&amp;"-"&amp;RIGHT(E$1,2),DATA!$D$1:$HT$52,MATCH($A29,DATA!$B:$B,0),FALSE),0)</f>
        <v>112200</v>
      </c>
      <c r="F29">
        <f>IFERROR(HLOOKUP(LEFT(F$1,4)&amp;"-"&amp;RIGHT(F$1,2),DATA!$D$1:$HT$52,MATCH($A29,DATA!$B:$B,0),FALSE),0)</f>
        <v>117400</v>
      </c>
      <c r="G29">
        <f>IFERROR(HLOOKUP(LEFT(G$1,4)&amp;"-"&amp;RIGHT(G$1,2),DATA!$D$1:$HT$52,MATCH($A29,DATA!$B:$B,0),FALSE),0)</f>
        <v>121100</v>
      </c>
      <c r="H29">
        <f>IFERROR(HLOOKUP(LEFT(H$1,4)&amp;"-"&amp;RIGHT(H$1,2),DATA!$D$1:$HT$52,MATCH($A29,DATA!$B:$B,0),FALSE),0)</f>
        <v>120600</v>
      </c>
      <c r="I29">
        <f>IFERROR(HLOOKUP(LEFT(I$1,4)&amp;"-"&amp;RIGHT(I$1,2),DATA!$D$1:$HT$52,MATCH($A29,DATA!$B:$B,0),FALSE),0)</f>
        <v>118200</v>
      </c>
      <c r="J29">
        <f>IFERROR(HLOOKUP(LEFT(J$1,4)&amp;"-"&amp;RIGHT(J$1,2),DATA!$D$1:$HT$52,MATCH($A29,DATA!$B:$B,0),FALSE),0)</f>
        <v>118600</v>
      </c>
      <c r="K29">
        <f>IFERROR(HLOOKUP(LEFT(K$1,4)&amp;"-"&amp;RIGHT(K$1,2),DATA!$D$1:$HT$52,MATCH($A29,DATA!$B:$B,0),FALSE),0)</f>
        <v>117800</v>
      </c>
      <c r="L29">
        <f>IFERROR(HLOOKUP(LEFT(L$1,4)&amp;"-"&amp;RIGHT(L$1,2),DATA!$D$1:$HT$52,MATCH($A29,DATA!$B:$B,0),FALSE),0)</f>
        <v>116400</v>
      </c>
      <c r="M29">
        <f>IFERROR(HLOOKUP(LEFT(M$1,4)&amp;"-"&amp;RIGHT(M$1,2),DATA!$D$1:$HT$52,MATCH($A29,DATA!$B:$B,0),FALSE),0)</f>
        <v>120000</v>
      </c>
      <c r="N29">
        <f>IFERROR(HLOOKUP(LEFT(N$1,4)&amp;"-"&amp;RIGHT(N$1,2),DATA!$D$1:$HT$52,MATCH($A29,DATA!$B:$B,0),FALSE),0)</f>
        <v>123400</v>
      </c>
      <c r="O29">
        <f>IFERROR(HLOOKUP(LEFT(O$1,4)&amp;"-"&amp;RIGHT(O$1,2),DATA!$D$1:$HT$52,MATCH($A29,DATA!$B:$B,0),FALSE),0)</f>
        <v>127600</v>
      </c>
      <c r="P29">
        <f>IFERROR(HLOOKUP(LEFT(P$1,4)&amp;"-"&amp;RIGHT(P$1,2),DATA!$D$1:$HT$52,MATCH($A29,DATA!$B:$B,0),FALSE),0)</f>
        <v>134500</v>
      </c>
      <c r="Q29">
        <f>IFERROR(HLOOKUP(LEFT(Q$1,4)&amp;"-"&amp;RIGHT(Q$1,2),DATA!$D$1:$HT$52,MATCH($A29,DATA!$B:$B,0),FALSE),0)</f>
        <v>141900</v>
      </c>
      <c r="R29">
        <f>IFERROR(HLOOKUP(LEFT(R$1,4)&amp;"-"&amp;RIGHT(R$1,2),DATA!$D$1:$HT$52,MATCH($A29,DATA!$B:$B,0),FALSE),0)</f>
        <v>152000</v>
      </c>
    </row>
    <row r="30" spans="1:18" x14ac:dyDescent="0.3">
      <c r="A30" t="s">
        <v>262</v>
      </c>
      <c r="B30">
        <f>IFERROR(HLOOKUP(LEFT(B$1,4)&amp;"-"&amp;RIGHT(B$1,2),DATA!$D$1:$HT$52,MATCH($A30,DATA!$B:$B,0),FALSE),0)</f>
        <v>156600</v>
      </c>
      <c r="C30">
        <f>IFERROR(HLOOKUP(LEFT(C$1,4)&amp;"-"&amp;RIGHT(C$1,2),DATA!$D$1:$HT$52,MATCH($A30,DATA!$B:$B,0),FALSE),0)</f>
        <v>167200</v>
      </c>
      <c r="D30">
        <f>IFERROR(HLOOKUP(LEFT(D$1,4)&amp;"-"&amp;RIGHT(D$1,2),DATA!$D$1:$HT$52,MATCH($A30,DATA!$B:$B,0),FALSE),0)</f>
        <v>197900</v>
      </c>
      <c r="E30">
        <f>IFERROR(HLOOKUP(LEFT(E$1,4)&amp;"-"&amp;RIGHT(E$1,2),DATA!$D$1:$HT$52,MATCH($A30,DATA!$B:$B,0),FALSE),0)</f>
        <v>280800</v>
      </c>
      <c r="F30">
        <f>IFERROR(HLOOKUP(LEFT(F$1,4)&amp;"-"&amp;RIGHT(F$1,2),DATA!$D$1:$HT$52,MATCH($A30,DATA!$B:$B,0),FALSE),0)</f>
        <v>312900</v>
      </c>
      <c r="G30">
        <f>IFERROR(HLOOKUP(LEFT(G$1,4)&amp;"-"&amp;RIGHT(G$1,2),DATA!$D$1:$HT$52,MATCH($A30,DATA!$B:$B,0),FALSE),0)</f>
        <v>307900</v>
      </c>
      <c r="H30">
        <f>IFERROR(HLOOKUP(LEFT(H$1,4)&amp;"-"&amp;RIGHT(H$1,2),DATA!$D$1:$HT$52,MATCH($A30,DATA!$B:$B,0),FALSE),0)</f>
        <v>268100</v>
      </c>
      <c r="I30">
        <f>IFERROR(HLOOKUP(LEFT(I$1,4)&amp;"-"&amp;RIGHT(I$1,2),DATA!$D$1:$HT$52,MATCH($A30,DATA!$B:$B,0),FALSE),0)</f>
        <v>201600</v>
      </c>
      <c r="J30">
        <f>IFERROR(HLOOKUP(LEFT(J$1,4)&amp;"-"&amp;RIGHT(J$1,2),DATA!$D$1:$HT$52,MATCH($A30,DATA!$B:$B,0),FALSE),0)</f>
        <v>154000</v>
      </c>
      <c r="K30">
        <f>IFERROR(HLOOKUP(LEFT(K$1,4)&amp;"-"&amp;RIGHT(K$1,2),DATA!$D$1:$HT$52,MATCH($A30,DATA!$B:$B,0),FALSE),0)</f>
        <v>140900</v>
      </c>
      <c r="L30">
        <f>IFERROR(HLOOKUP(LEFT(L$1,4)&amp;"-"&amp;RIGHT(L$1,2),DATA!$D$1:$HT$52,MATCH($A30,DATA!$B:$B,0),FALSE),0)</f>
        <v>126800</v>
      </c>
      <c r="M30">
        <f>IFERROR(HLOOKUP(LEFT(M$1,4)&amp;"-"&amp;RIGHT(M$1,2),DATA!$D$1:$HT$52,MATCH($A30,DATA!$B:$B,0),FALSE),0)</f>
        <v>141200</v>
      </c>
      <c r="N30">
        <f>IFERROR(HLOOKUP(LEFT(N$1,4)&amp;"-"&amp;RIGHT(N$1,2),DATA!$D$1:$HT$52,MATCH($A30,DATA!$B:$B,0),FALSE),0)</f>
        <v>175400</v>
      </c>
      <c r="O30">
        <f>IFERROR(HLOOKUP(LEFT(O$1,4)&amp;"-"&amp;RIGHT(O$1,2),DATA!$D$1:$HT$52,MATCH($A30,DATA!$B:$B,0),FALSE),0)</f>
        <v>193500</v>
      </c>
      <c r="P30">
        <f>IFERROR(HLOOKUP(LEFT(P$1,4)&amp;"-"&amp;RIGHT(P$1,2),DATA!$D$1:$HT$52,MATCH($A30,DATA!$B:$B,0),FALSE),0)</f>
        <v>211400</v>
      </c>
      <c r="Q30">
        <f>IFERROR(HLOOKUP(LEFT(Q$1,4)&amp;"-"&amp;RIGHT(Q$1,2),DATA!$D$1:$HT$52,MATCH($A30,DATA!$B:$B,0),FALSE),0)</f>
        <v>230500</v>
      </c>
      <c r="R30">
        <f>IFERROR(HLOOKUP(LEFT(R$1,4)&amp;"-"&amp;RIGHT(R$1,2),DATA!$D$1:$HT$52,MATCH($A30,DATA!$B:$B,0),FALSE),0)</f>
        <v>258600</v>
      </c>
    </row>
    <row r="31" spans="1:18" x14ac:dyDescent="0.3">
      <c r="A31" t="s">
        <v>269</v>
      </c>
      <c r="B31">
        <f>IFERROR(HLOOKUP(LEFT(B$1,4)&amp;"-"&amp;RIGHT(B$1,2),DATA!$D$1:$HT$52,MATCH($A31,DATA!$B:$B,0),FALSE),0)</f>
        <v>169700</v>
      </c>
      <c r="C31">
        <f>IFERROR(HLOOKUP(LEFT(C$1,4)&amp;"-"&amp;RIGHT(C$1,2),DATA!$D$1:$HT$52,MATCH($A31,DATA!$B:$B,0),FALSE),0)</f>
        <v>192300</v>
      </c>
      <c r="D31">
        <f>IFERROR(HLOOKUP(LEFT(D$1,4)&amp;"-"&amp;RIGHT(D$1,2),DATA!$D$1:$HT$52,MATCH($A31,DATA!$B:$B,0),FALSE),0)</f>
        <v>218400</v>
      </c>
      <c r="E31">
        <f>IFERROR(HLOOKUP(LEFT(E$1,4)&amp;"-"&amp;RIGHT(E$1,2),DATA!$D$1:$HT$52,MATCH($A31,DATA!$B:$B,0),FALSE),0)</f>
        <v>243900</v>
      </c>
      <c r="F31">
        <f>IFERROR(HLOOKUP(LEFT(F$1,4)&amp;"-"&amp;RIGHT(F$1,2),DATA!$D$1:$HT$52,MATCH($A31,DATA!$B:$B,0),FALSE),0)</f>
        <v>260300</v>
      </c>
      <c r="G31">
        <f>IFERROR(HLOOKUP(LEFT(G$1,4)&amp;"-"&amp;RIGHT(G$1,2),DATA!$D$1:$HT$52,MATCH($A31,DATA!$B:$B,0),FALSE),0)</f>
        <v>254400</v>
      </c>
      <c r="H31">
        <f>IFERROR(HLOOKUP(LEFT(H$1,4)&amp;"-"&amp;RIGHT(H$1,2),DATA!$D$1:$HT$52,MATCH($A31,DATA!$B:$B,0),FALSE),0)</f>
        <v>243800</v>
      </c>
      <c r="I31">
        <f>IFERROR(HLOOKUP(LEFT(I$1,4)&amp;"-"&amp;RIGHT(I$1,2),DATA!$D$1:$HT$52,MATCH($A31,DATA!$B:$B,0),FALSE),0)</f>
        <v>225100</v>
      </c>
      <c r="J31">
        <f>IFERROR(HLOOKUP(LEFT(J$1,4)&amp;"-"&amp;RIGHT(J$1,2),DATA!$D$1:$HT$52,MATCH($A31,DATA!$B:$B,0),FALSE),0)</f>
        <v>213600</v>
      </c>
      <c r="K31">
        <f>IFERROR(HLOOKUP(LEFT(K$1,4)&amp;"-"&amp;RIGHT(K$1,2),DATA!$D$1:$HT$52,MATCH($A31,DATA!$B:$B,0),FALSE),0)</f>
        <v>206000</v>
      </c>
      <c r="L31">
        <f>IFERROR(HLOOKUP(LEFT(L$1,4)&amp;"-"&amp;RIGHT(L$1,2),DATA!$D$1:$HT$52,MATCH($A31,DATA!$B:$B,0),FALSE),0)</f>
        <v>196000</v>
      </c>
      <c r="M31">
        <f>IFERROR(HLOOKUP(LEFT(M$1,4)&amp;"-"&amp;RIGHT(M$1,2),DATA!$D$1:$HT$52,MATCH($A31,DATA!$B:$B,0),FALSE),0)</f>
        <v>198600</v>
      </c>
      <c r="N31">
        <f>IFERROR(HLOOKUP(LEFT(N$1,4)&amp;"-"&amp;RIGHT(N$1,2),DATA!$D$1:$HT$52,MATCH($A31,DATA!$B:$B,0),FALSE),0)</f>
        <v>208500</v>
      </c>
      <c r="O31">
        <f>IFERROR(HLOOKUP(LEFT(O$1,4)&amp;"-"&amp;RIGHT(O$1,2),DATA!$D$1:$HT$52,MATCH($A31,DATA!$B:$B,0),FALSE),0)</f>
        <v>215900</v>
      </c>
      <c r="P31">
        <f>IFERROR(HLOOKUP(LEFT(P$1,4)&amp;"-"&amp;RIGHT(P$1,2),DATA!$D$1:$HT$52,MATCH($A31,DATA!$B:$B,0),FALSE),0)</f>
        <v>225100</v>
      </c>
      <c r="Q31">
        <f>IFERROR(HLOOKUP(LEFT(Q$1,4)&amp;"-"&amp;RIGHT(Q$1,2),DATA!$D$1:$HT$52,MATCH($A31,DATA!$B:$B,0),FALSE),0)</f>
        <v>237000</v>
      </c>
      <c r="R31">
        <f>IFERROR(HLOOKUP(LEFT(R$1,4)&amp;"-"&amp;RIGHT(R$1,2),DATA!$D$1:$HT$52,MATCH($A31,DATA!$B:$B,0),FALSE),0)</f>
        <v>255100</v>
      </c>
    </row>
    <row r="32" spans="1:18" x14ac:dyDescent="0.3">
      <c r="A32" t="s">
        <v>238</v>
      </c>
      <c r="B32">
        <f>IFERROR(HLOOKUP(LEFT(B$1,4)&amp;"-"&amp;RIGHT(B$1,2),DATA!$D$1:$HT$52,MATCH($A32,DATA!$B:$B,0),FALSE),0)</f>
        <v>202000</v>
      </c>
      <c r="C32">
        <f>IFERROR(HLOOKUP(LEFT(C$1,4)&amp;"-"&amp;RIGHT(C$1,2),DATA!$D$1:$HT$52,MATCH($A32,DATA!$B:$B,0),FALSE),0)</f>
        <v>238000</v>
      </c>
      <c r="D32">
        <f>IFERROR(HLOOKUP(LEFT(D$1,4)&amp;"-"&amp;RIGHT(D$1,2),DATA!$D$1:$HT$52,MATCH($A32,DATA!$B:$B,0),FALSE),0)</f>
        <v>273300</v>
      </c>
      <c r="E32">
        <f>IFERROR(HLOOKUP(LEFT(E$1,4)&amp;"-"&amp;RIGHT(E$1,2),DATA!$D$1:$HT$52,MATCH($A32,DATA!$B:$B,0),FALSE),0)</f>
        <v>315100</v>
      </c>
      <c r="F32">
        <f>IFERROR(HLOOKUP(LEFT(F$1,4)&amp;"-"&amp;RIGHT(F$1,2),DATA!$D$1:$HT$52,MATCH($A32,DATA!$B:$B,0),FALSE),0)</f>
        <v>360500</v>
      </c>
      <c r="G32">
        <f>IFERROR(HLOOKUP(LEFT(G$1,4)&amp;"-"&amp;RIGHT(G$1,2),DATA!$D$1:$HT$52,MATCH($A32,DATA!$B:$B,0),FALSE),0)</f>
        <v>372800</v>
      </c>
      <c r="H32">
        <f>IFERROR(HLOOKUP(LEFT(H$1,4)&amp;"-"&amp;RIGHT(H$1,2),DATA!$D$1:$HT$52,MATCH($A32,DATA!$B:$B,0),FALSE),0)</f>
        <v>356300</v>
      </c>
      <c r="I32">
        <f>IFERROR(HLOOKUP(LEFT(I$1,4)&amp;"-"&amp;RIGHT(I$1,2),DATA!$D$1:$HT$52,MATCH($A32,DATA!$B:$B,0),FALSE),0)</f>
        <v>324600</v>
      </c>
      <c r="J32">
        <f>IFERROR(HLOOKUP(LEFT(J$1,4)&amp;"-"&amp;RIGHT(J$1,2),DATA!$D$1:$HT$52,MATCH($A32,DATA!$B:$B,0),FALSE),0)</f>
        <v>299800</v>
      </c>
      <c r="K32">
        <f>IFERROR(HLOOKUP(LEFT(K$1,4)&amp;"-"&amp;RIGHT(K$1,2),DATA!$D$1:$HT$52,MATCH($A32,DATA!$B:$B,0),FALSE),0)</f>
        <v>283300</v>
      </c>
      <c r="L32">
        <f>IFERROR(HLOOKUP(LEFT(L$1,4)&amp;"-"&amp;RIGHT(L$1,2),DATA!$D$1:$HT$52,MATCH($A32,DATA!$B:$B,0),FALSE),0)</f>
        <v>263300</v>
      </c>
      <c r="M32">
        <f>IFERROR(HLOOKUP(LEFT(M$1,4)&amp;"-"&amp;RIGHT(M$1,2),DATA!$D$1:$HT$52,MATCH($A32,DATA!$B:$B,0),FALSE),0)</f>
        <v>256000</v>
      </c>
      <c r="N32">
        <f>IFERROR(HLOOKUP(LEFT(N$1,4)&amp;"-"&amp;RIGHT(N$1,2),DATA!$D$1:$HT$52,MATCH($A32,DATA!$B:$B,0),FALSE),0)</f>
        <v>265300</v>
      </c>
      <c r="O32">
        <f>IFERROR(HLOOKUP(LEFT(O$1,4)&amp;"-"&amp;RIGHT(O$1,2),DATA!$D$1:$HT$52,MATCH($A32,DATA!$B:$B,0),FALSE),0)</f>
        <v>272200</v>
      </c>
      <c r="P32">
        <f>IFERROR(HLOOKUP(LEFT(P$1,4)&amp;"-"&amp;RIGHT(P$1,2),DATA!$D$1:$HT$52,MATCH($A32,DATA!$B:$B,0),FALSE),0)</f>
        <v>274700</v>
      </c>
      <c r="Q32">
        <f>IFERROR(HLOOKUP(LEFT(Q$1,4)&amp;"-"&amp;RIGHT(Q$1,2),DATA!$D$1:$HT$52,MATCH($A32,DATA!$B:$B,0),FALSE),0)</f>
        <v>280200</v>
      </c>
      <c r="R32">
        <f>IFERROR(HLOOKUP(LEFT(R$1,4)&amp;"-"&amp;RIGHT(R$1,2),DATA!$D$1:$HT$52,MATCH($A32,DATA!$B:$B,0),FALSE),0)</f>
        <v>306600</v>
      </c>
    </row>
    <row r="33" spans="1:18" x14ac:dyDescent="0.3">
      <c r="A33" t="s">
        <v>263</v>
      </c>
      <c r="B33">
        <f>IFERROR(HLOOKUP(LEFT(B$1,4)&amp;"-"&amp;RIGHT(B$1,2),DATA!$D$1:$HT$52,MATCH($A33,DATA!$B:$B,0),FALSE),0)</f>
        <v>135800</v>
      </c>
      <c r="C33">
        <f>IFERROR(HLOOKUP(LEFT(C$1,4)&amp;"-"&amp;RIGHT(C$1,2),DATA!$D$1:$HT$52,MATCH($A33,DATA!$B:$B,0),FALSE),0)</f>
        <v>137400</v>
      </c>
      <c r="D33">
        <f>IFERROR(HLOOKUP(LEFT(D$1,4)&amp;"-"&amp;RIGHT(D$1,2),DATA!$D$1:$HT$52,MATCH($A33,DATA!$B:$B,0),FALSE),0)</f>
        <v>149200</v>
      </c>
      <c r="E33">
        <f>IFERROR(HLOOKUP(LEFT(E$1,4)&amp;"-"&amp;RIGHT(E$1,2),DATA!$D$1:$HT$52,MATCH($A33,DATA!$B:$B,0),FALSE),0)</f>
        <v>151600</v>
      </c>
      <c r="F33">
        <f>IFERROR(HLOOKUP(LEFT(F$1,4)&amp;"-"&amp;RIGHT(F$1,2),DATA!$D$1:$HT$52,MATCH($A33,DATA!$B:$B,0),FALSE),0)</f>
        <v>157300</v>
      </c>
      <c r="G33">
        <f>IFERROR(HLOOKUP(LEFT(G$1,4)&amp;"-"&amp;RIGHT(G$1,2),DATA!$D$1:$HT$52,MATCH($A33,DATA!$B:$B,0),FALSE),0)</f>
        <v>178900</v>
      </c>
      <c r="H33">
        <f>IFERROR(HLOOKUP(LEFT(H$1,4)&amp;"-"&amp;RIGHT(H$1,2),DATA!$D$1:$HT$52,MATCH($A33,DATA!$B:$B,0),FALSE),0)</f>
        <v>184200</v>
      </c>
      <c r="I33">
        <f>IFERROR(HLOOKUP(LEFT(I$1,4)&amp;"-"&amp;RIGHT(I$1,2),DATA!$D$1:$HT$52,MATCH($A33,DATA!$B:$B,0),FALSE),0)</f>
        <v>180500</v>
      </c>
      <c r="J33">
        <f>IFERROR(HLOOKUP(LEFT(J$1,4)&amp;"-"&amp;RIGHT(J$1,2),DATA!$D$1:$HT$52,MATCH($A33,DATA!$B:$B,0),FALSE),0)</f>
        <v>175000</v>
      </c>
      <c r="K33">
        <f>IFERROR(HLOOKUP(LEFT(K$1,4)&amp;"-"&amp;RIGHT(K$1,2),DATA!$D$1:$HT$52,MATCH($A33,DATA!$B:$B,0),FALSE),0)</f>
        <v>167400</v>
      </c>
      <c r="L33">
        <f>IFERROR(HLOOKUP(LEFT(L$1,4)&amp;"-"&amp;RIGHT(L$1,2),DATA!$D$1:$HT$52,MATCH($A33,DATA!$B:$B,0),FALSE),0)</f>
        <v>156700</v>
      </c>
      <c r="M33">
        <f>IFERROR(HLOOKUP(LEFT(M$1,4)&amp;"-"&amp;RIGHT(M$1,2),DATA!$D$1:$HT$52,MATCH($A33,DATA!$B:$B,0),FALSE),0)</f>
        <v>153700</v>
      </c>
      <c r="N33">
        <f>IFERROR(HLOOKUP(LEFT(N$1,4)&amp;"-"&amp;RIGHT(N$1,2),DATA!$D$1:$HT$52,MATCH($A33,DATA!$B:$B,0),FALSE),0)</f>
        <v>154300</v>
      </c>
      <c r="O33">
        <f>IFERROR(HLOOKUP(LEFT(O$1,4)&amp;"-"&amp;RIGHT(O$1,2),DATA!$D$1:$HT$52,MATCH($A33,DATA!$B:$B,0),FALSE),0)</f>
        <v>157100</v>
      </c>
      <c r="P33">
        <f>IFERROR(HLOOKUP(LEFT(P$1,4)&amp;"-"&amp;RIGHT(P$1,2),DATA!$D$1:$HT$52,MATCH($A33,DATA!$B:$B,0),FALSE),0)</f>
        <v>164000</v>
      </c>
      <c r="Q33">
        <f>IFERROR(HLOOKUP(LEFT(Q$1,4)&amp;"-"&amp;RIGHT(Q$1,2),DATA!$D$1:$HT$52,MATCH($A33,DATA!$B:$B,0),FALSE),0)</f>
        <v>170600</v>
      </c>
      <c r="R33">
        <f>IFERROR(HLOOKUP(LEFT(R$1,4)&amp;"-"&amp;RIGHT(R$1,2),DATA!$D$1:$HT$52,MATCH($A33,DATA!$B:$B,0),FALSE),0)</f>
        <v>179000</v>
      </c>
    </row>
    <row r="34" spans="1:18" x14ac:dyDescent="0.3">
      <c r="A34" t="s">
        <v>230</v>
      </c>
      <c r="B34">
        <f>IFERROR(HLOOKUP(LEFT(B$1,4)&amp;"-"&amp;RIGHT(B$1,2),DATA!$D$1:$HT$52,MATCH($A34,DATA!$B:$B,0),FALSE),0)</f>
        <v>169800</v>
      </c>
      <c r="C34">
        <f>IFERROR(HLOOKUP(LEFT(C$1,4)&amp;"-"&amp;RIGHT(C$1,2),DATA!$D$1:$HT$52,MATCH($A34,DATA!$B:$B,0),FALSE),0)</f>
        <v>191600</v>
      </c>
      <c r="D34">
        <f>IFERROR(HLOOKUP(LEFT(D$1,4)&amp;"-"&amp;RIGHT(D$1,2),DATA!$D$1:$HT$52,MATCH($A34,DATA!$B:$B,0),FALSE),0)</f>
        <v>223700</v>
      </c>
      <c r="E34">
        <f>IFERROR(HLOOKUP(LEFT(E$1,4)&amp;"-"&amp;RIGHT(E$1,2),DATA!$D$1:$HT$52,MATCH($A34,DATA!$B:$B,0),FALSE),0)</f>
        <v>258200</v>
      </c>
      <c r="F34">
        <f>IFERROR(HLOOKUP(LEFT(F$1,4)&amp;"-"&amp;RIGHT(F$1,2),DATA!$D$1:$HT$52,MATCH($A34,DATA!$B:$B,0),FALSE),0)</f>
        <v>291900</v>
      </c>
      <c r="G34">
        <f>IFERROR(HLOOKUP(LEFT(G$1,4)&amp;"-"&amp;RIGHT(G$1,2),DATA!$D$1:$HT$52,MATCH($A34,DATA!$B:$B,0),FALSE),0)</f>
        <v>303600</v>
      </c>
      <c r="H34">
        <f>IFERROR(HLOOKUP(LEFT(H$1,4)&amp;"-"&amp;RIGHT(H$1,2),DATA!$D$1:$HT$52,MATCH($A34,DATA!$B:$B,0),FALSE),0)</f>
        <v>299600</v>
      </c>
      <c r="I34">
        <f>IFERROR(HLOOKUP(LEFT(I$1,4)&amp;"-"&amp;RIGHT(I$1,2),DATA!$D$1:$HT$52,MATCH($A34,DATA!$B:$B,0),FALSE),0)</f>
        <v>273100</v>
      </c>
      <c r="J34">
        <f>IFERROR(HLOOKUP(LEFT(J$1,4)&amp;"-"&amp;RIGHT(J$1,2),DATA!$D$1:$HT$52,MATCH($A34,DATA!$B:$B,0),FALSE),0)</f>
        <v>257200</v>
      </c>
      <c r="K34">
        <f>IFERROR(HLOOKUP(LEFT(K$1,4)&amp;"-"&amp;RIGHT(K$1,2),DATA!$D$1:$HT$52,MATCH($A34,DATA!$B:$B,0),FALSE),0)</f>
        <v>245500</v>
      </c>
      <c r="L34">
        <f>IFERROR(HLOOKUP(LEFT(L$1,4)&amp;"-"&amp;RIGHT(L$1,2),DATA!$D$1:$HT$52,MATCH($A34,DATA!$B:$B,0),FALSE),0)</f>
        <v>234100</v>
      </c>
      <c r="M34">
        <f>IFERROR(HLOOKUP(LEFT(M$1,4)&amp;"-"&amp;RIGHT(M$1,2),DATA!$D$1:$HT$52,MATCH($A34,DATA!$B:$B,0),FALSE),0)</f>
        <v>231400</v>
      </c>
      <c r="N34">
        <f>IFERROR(HLOOKUP(LEFT(N$1,4)&amp;"-"&amp;RIGHT(N$1,2),DATA!$D$1:$HT$52,MATCH($A34,DATA!$B:$B,0),FALSE),0)</f>
        <v>238800</v>
      </c>
      <c r="O34">
        <f>IFERROR(HLOOKUP(LEFT(O$1,4)&amp;"-"&amp;RIGHT(O$1,2),DATA!$D$1:$HT$52,MATCH($A34,DATA!$B:$B,0),FALSE),0)</f>
        <v>244400</v>
      </c>
      <c r="P34">
        <f>IFERROR(HLOOKUP(LEFT(P$1,4)&amp;"-"&amp;RIGHT(P$1,2),DATA!$D$1:$HT$52,MATCH($A34,DATA!$B:$B,0),FALSE),0)</f>
        <v>251300</v>
      </c>
      <c r="Q34">
        <f>IFERROR(HLOOKUP(LEFT(Q$1,4)&amp;"-"&amp;RIGHT(Q$1,2),DATA!$D$1:$HT$52,MATCH($A34,DATA!$B:$B,0),FALSE),0)</f>
        <v>261800</v>
      </c>
      <c r="R34">
        <f>IFERROR(HLOOKUP(LEFT(R$1,4)&amp;"-"&amp;RIGHT(R$1,2),DATA!$D$1:$HT$52,MATCH($A34,DATA!$B:$B,0),FALSE),0)</f>
        <v>277400</v>
      </c>
    </row>
    <row r="35" spans="1:18" x14ac:dyDescent="0.3">
      <c r="A35" t="s">
        <v>237</v>
      </c>
      <c r="B35">
        <f>IFERROR(HLOOKUP(LEFT(B$1,4)&amp;"-"&amp;RIGHT(B$1,2),DATA!$D$1:$HT$52,MATCH($A35,DATA!$B:$B,0),FALSE),0)</f>
        <v>116300</v>
      </c>
      <c r="C35">
        <f>IFERROR(HLOOKUP(LEFT(C$1,4)&amp;"-"&amp;RIGHT(C$1,2),DATA!$D$1:$HT$52,MATCH($A35,DATA!$B:$B,0),FALSE),0)</f>
        <v>120500</v>
      </c>
      <c r="D35">
        <f>IFERROR(HLOOKUP(LEFT(D$1,4)&amp;"-"&amp;RIGHT(D$1,2),DATA!$D$1:$HT$52,MATCH($A35,DATA!$B:$B,0),FALSE),0)</f>
        <v>126100</v>
      </c>
      <c r="E35">
        <f>IFERROR(HLOOKUP(LEFT(E$1,4)&amp;"-"&amp;RIGHT(E$1,2),DATA!$D$1:$HT$52,MATCH($A35,DATA!$B:$B,0),FALSE),0)</f>
        <v>134000</v>
      </c>
      <c r="F35">
        <f>IFERROR(HLOOKUP(LEFT(F$1,4)&amp;"-"&amp;RIGHT(F$1,2),DATA!$D$1:$HT$52,MATCH($A35,DATA!$B:$B,0),FALSE),0)</f>
        <v>140900</v>
      </c>
      <c r="G35">
        <f>IFERROR(HLOOKUP(LEFT(G$1,4)&amp;"-"&amp;RIGHT(G$1,2),DATA!$D$1:$HT$52,MATCH($A35,DATA!$B:$B,0),FALSE),0)</f>
        <v>150500</v>
      </c>
      <c r="H35">
        <f>IFERROR(HLOOKUP(LEFT(H$1,4)&amp;"-"&amp;RIGHT(H$1,2),DATA!$D$1:$HT$52,MATCH($A35,DATA!$B:$B,0),FALSE),0)</f>
        <v>154000</v>
      </c>
      <c r="I35">
        <f>IFERROR(HLOOKUP(LEFT(I$1,4)&amp;"-"&amp;RIGHT(I$1,2),DATA!$D$1:$HT$52,MATCH($A35,DATA!$B:$B,0),FALSE),0)</f>
        <v>149500</v>
      </c>
      <c r="J35">
        <f>IFERROR(HLOOKUP(LEFT(J$1,4)&amp;"-"&amp;RIGHT(J$1,2),DATA!$D$1:$HT$52,MATCH($A35,DATA!$B:$B,0),FALSE),0)</f>
        <v>144500</v>
      </c>
      <c r="K35">
        <f>IFERROR(HLOOKUP(LEFT(K$1,4)&amp;"-"&amp;RIGHT(K$1,2),DATA!$D$1:$HT$52,MATCH($A35,DATA!$B:$B,0),FALSE),0)</f>
        <v>140000</v>
      </c>
      <c r="L35">
        <f>IFERROR(HLOOKUP(LEFT(L$1,4)&amp;"-"&amp;RIGHT(L$1,2),DATA!$D$1:$HT$52,MATCH($A35,DATA!$B:$B,0),FALSE),0)</f>
        <v>134800</v>
      </c>
      <c r="M35">
        <f>IFERROR(HLOOKUP(LEFT(M$1,4)&amp;"-"&amp;RIGHT(M$1,2),DATA!$D$1:$HT$52,MATCH($A35,DATA!$B:$B,0),FALSE),0)</f>
        <v>134900</v>
      </c>
      <c r="N35">
        <f>IFERROR(HLOOKUP(LEFT(N$1,4)&amp;"-"&amp;RIGHT(N$1,2),DATA!$D$1:$HT$52,MATCH($A35,DATA!$B:$B,0),FALSE),0)</f>
        <v>139000</v>
      </c>
      <c r="O35">
        <f>IFERROR(HLOOKUP(LEFT(O$1,4)&amp;"-"&amp;RIGHT(O$1,2),DATA!$D$1:$HT$52,MATCH($A35,DATA!$B:$B,0),FALSE),0)</f>
        <v>142000</v>
      </c>
      <c r="P35">
        <f>IFERROR(HLOOKUP(LEFT(P$1,4)&amp;"-"&amp;RIGHT(P$1,2),DATA!$D$1:$HT$52,MATCH($A35,DATA!$B:$B,0),FALSE),0)</f>
        <v>147300</v>
      </c>
      <c r="Q35">
        <f>IFERROR(HLOOKUP(LEFT(Q$1,4)&amp;"-"&amp;RIGHT(Q$1,2),DATA!$D$1:$HT$52,MATCH($A35,DATA!$B:$B,0),FALSE),0)</f>
        <v>157300</v>
      </c>
      <c r="R35">
        <f>IFERROR(HLOOKUP(LEFT(R$1,4)&amp;"-"&amp;RIGHT(R$1,2),DATA!$D$1:$HT$52,MATCH($A35,DATA!$B:$B,0),FALSE),0)</f>
        <v>167100</v>
      </c>
    </row>
    <row r="36" spans="1:18" x14ac:dyDescent="0.3">
      <c r="A36" t="s">
        <v>275</v>
      </c>
      <c r="B36">
        <f>IFERROR(HLOOKUP(LEFT(B$1,4)&amp;"-"&amp;RIGHT(B$1,2),DATA!$D$1:$HT$52,MATCH($A36,DATA!$B:$B,0),FALSE),0)</f>
        <v>0</v>
      </c>
      <c r="C36">
        <f>IFERROR(HLOOKUP(LEFT(C$1,4)&amp;"-"&amp;RIGHT(C$1,2),DATA!$D$1:$HT$52,MATCH($A36,DATA!$B:$B,0),FALSE),0)</f>
        <v>0</v>
      </c>
      <c r="D36">
        <f>IFERROR(HLOOKUP(LEFT(D$1,4)&amp;"-"&amp;RIGHT(D$1,2),DATA!$D$1:$HT$52,MATCH($A36,DATA!$B:$B,0),FALSE),0)</f>
        <v>0</v>
      </c>
      <c r="E36">
        <f>IFERROR(HLOOKUP(LEFT(E$1,4)&amp;"-"&amp;RIGHT(E$1,2),DATA!$D$1:$HT$52,MATCH($A36,DATA!$B:$B,0),FALSE),0)</f>
        <v>0</v>
      </c>
      <c r="F36">
        <f>IFERROR(HLOOKUP(LEFT(F$1,4)&amp;"-"&amp;RIGHT(F$1,2),DATA!$D$1:$HT$52,MATCH($A36,DATA!$B:$B,0),FALSE),0)</f>
        <v>121200</v>
      </c>
      <c r="G36">
        <f>IFERROR(HLOOKUP(LEFT(G$1,4)&amp;"-"&amp;RIGHT(G$1,2),DATA!$D$1:$HT$52,MATCH($A36,DATA!$B:$B,0),FALSE),0)</f>
        <v>126700</v>
      </c>
      <c r="H36">
        <f>IFERROR(HLOOKUP(LEFT(H$1,4)&amp;"-"&amp;RIGHT(H$1,2),DATA!$D$1:$HT$52,MATCH($A36,DATA!$B:$B,0),FALSE),0)</f>
        <v>132900</v>
      </c>
      <c r="I36">
        <f>IFERROR(HLOOKUP(LEFT(I$1,4)&amp;"-"&amp;RIGHT(I$1,2),DATA!$D$1:$HT$52,MATCH($A36,DATA!$B:$B,0),FALSE),0)</f>
        <v>133400</v>
      </c>
      <c r="J36">
        <f>IFERROR(HLOOKUP(LEFT(J$1,4)&amp;"-"&amp;RIGHT(J$1,2),DATA!$D$1:$HT$52,MATCH($A36,DATA!$B:$B,0),FALSE),0)</f>
        <v>135200</v>
      </c>
      <c r="K36">
        <f>IFERROR(HLOOKUP(LEFT(K$1,4)&amp;"-"&amp;RIGHT(K$1,2),DATA!$D$1:$HT$52,MATCH($A36,DATA!$B:$B,0),FALSE),0)</f>
        <v>140800</v>
      </c>
      <c r="L36">
        <f>IFERROR(HLOOKUP(LEFT(L$1,4)&amp;"-"&amp;RIGHT(L$1,2),DATA!$D$1:$HT$52,MATCH($A36,DATA!$B:$B,0),FALSE),0)</f>
        <v>142900</v>
      </c>
      <c r="M36">
        <f>IFERROR(HLOOKUP(LEFT(M$1,4)&amp;"-"&amp;RIGHT(M$1,2),DATA!$D$1:$HT$52,MATCH($A36,DATA!$B:$B,0),FALSE),0)</f>
        <v>152900</v>
      </c>
      <c r="N36">
        <f>IFERROR(HLOOKUP(LEFT(N$1,4)&amp;"-"&amp;RIGHT(N$1,2),DATA!$D$1:$HT$52,MATCH($A36,DATA!$B:$B,0),FALSE),0)</f>
        <v>167500</v>
      </c>
      <c r="O36">
        <f>IFERROR(HLOOKUP(LEFT(O$1,4)&amp;"-"&amp;RIGHT(O$1,2),DATA!$D$1:$HT$52,MATCH($A36,DATA!$B:$B,0),FALSE),0)</f>
        <v>179800</v>
      </c>
      <c r="P36">
        <f>IFERROR(HLOOKUP(LEFT(P$1,4)&amp;"-"&amp;RIGHT(P$1,2),DATA!$D$1:$HT$52,MATCH($A36,DATA!$B:$B,0),FALSE),0)</f>
        <v>191200</v>
      </c>
      <c r="Q36">
        <f>IFERROR(HLOOKUP(LEFT(Q$1,4)&amp;"-"&amp;RIGHT(Q$1,2),DATA!$D$1:$HT$52,MATCH($A36,DATA!$B:$B,0),FALSE),0)</f>
        <v>199900</v>
      </c>
      <c r="R36">
        <f>IFERROR(HLOOKUP(LEFT(R$1,4)&amp;"-"&amp;RIGHT(R$1,2),DATA!$D$1:$HT$52,MATCH($A36,DATA!$B:$B,0),FALSE),0)</f>
        <v>203300</v>
      </c>
    </row>
    <row r="37" spans="1:18" x14ac:dyDescent="0.3">
      <c r="A37" t="s">
        <v>234</v>
      </c>
      <c r="B37">
        <f>IFERROR(HLOOKUP(LEFT(B$1,4)&amp;"-"&amp;RIGHT(B$1,2),DATA!$D$1:$HT$52,MATCH($A37,DATA!$B:$B,0),FALSE),0)</f>
        <v>108900</v>
      </c>
      <c r="C37">
        <f>IFERROR(HLOOKUP(LEFT(C$1,4)&amp;"-"&amp;RIGHT(C$1,2),DATA!$D$1:$HT$52,MATCH($A37,DATA!$B:$B,0),FALSE),0)</f>
        <v>113400</v>
      </c>
      <c r="D37">
        <f>IFERROR(HLOOKUP(LEFT(D$1,4)&amp;"-"&amp;RIGHT(D$1,2),DATA!$D$1:$HT$52,MATCH($A37,DATA!$B:$B,0),FALSE),0)</f>
        <v>118100</v>
      </c>
      <c r="E37">
        <f>IFERROR(HLOOKUP(LEFT(E$1,4)&amp;"-"&amp;RIGHT(E$1,2),DATA!$D$1:$HT$52,MATCH($A37,DATA!$B:$B,0),FALSE),0)</f>
        <v>121900</v>
      </c>
      <c r="F37">
        <f>IFERROR(HLOOKUP(LEFT(F$1,4)&amp;"-"&amp;RIGHT(F$1,2),DATA!$D$1:$HT$52,MATCH($A37,DATA!$B:$B,0),FALSE),0)</f>
        <v>124600</v>
      </c>
      <c r="G37">
        <f>IFERROR(HLOOKUP(LEFT(G$1,4)&amp;"-"&amp;RIGHT(G$1,2),DATA!$D$1:$HT$52,MATCH($A37,DATA!$B:$B,0),FALSE),0)</f>
        <v>124600</v>
      </c>
      <c r="H37">
        <f>IFERROR(HLOOKUP(LEFT(H$1,4)&amp;"-"&amp;RIGHT(H$1,2),DATA!$D$1:$HT$52,MATCH($A37,DATA!$B:$B,0),FALSE),0)</f>
        <v>120500</v>
      </c>
      <c r="I37">
        <f>IFERROR(HLOOKUP(LEFT(I$1,4)&amp;"-"&amp;RIGHT(I$1,2),DATA!$D$1:$HT$52,MATCH($A37,DATA!$B:$B,0),FALSE),0)</f>
        <v>113900</v>
      </c>
      <c r="J37">
        <f>IFERROR(HLOOKUP(LEFT(J$1,4)&amp;"-"&amp;RIGHT(J$1,2),DATA!$D$1:$HT$52,MATCH($A37,DATA!$B:$B,0),FALSE),0)</f>
        <v>110000</v>
      </c>
      <c r="K37">
        <f>IFERROR(HLOOKUP(LEFT(K$1,4)&amp;"-"&amp;RIGHT(K$1,2),DATA!$D$1:$HT$52,MATCH($A37,DATA!$B:$B,0),FALSE),0)</f>
        <v>107200</v>
      </c>
      <c r="L37">
        <f>IFERROR(HLOOKUP(LEFT(L$1,4)&amp;"-"&amp;RIGHT(L$1,2),DATA!$D$1:$HT$52,MATCH($A37,DATA!$B:$B,0),FALSE),0)</f>
        <v>102400</v>
      </c>
      <c r="M37">
        <f>IFERROR(HLOOKUP(LEFT(M$1,4)&amp;"-"&amp;RIGHT(M$1,2),DATA!$D$1:$HT$52,MATCH($A37,DATA!$B:$B,0),FALSE),0)</f>
        <v>102800</v>
      </c>
      <c r="N37">
        <f>IFERROR(HLOOKUP(LEFT(N$1,4)&amp;"-"&amp;RIGHT(N$1,2),DATA!$D$1:$HT$52,MATCH($A37,DATA!$B:$B,0),FALSE),0)</f>
        <v>105900</v>
      </c>
      <c r="O37">
        <f>IFERROR(HLOOKUP(LEFT(O$1,4)&amp;"-"&amp;RIGHT(O$1,2),DATA!$D$1:$HT$52,MATCH($A37,DATA!$B:$B,0),FALSE),0)</f>
        <v>110300</v>
      </c>
      <c r="P37">
        <f>IFERROR(HLOOKUP(LEFT(P$1,4)&amp;"-"&amp;RIGHT(P$1,2),DATA!$D$1:$HT$52,MATCH($A37,DATA!$B:$B,0),FALSE),0)</f>
        <v>114700</v>
      </c>
      <c r="Q37">
        <f>IFERROR(HLOOKUP(LEFT(Q$1,4)&amp;"-"&amp;RIGHT(Q$1,2),DATA!$D$1:$HT$52,MATCH($A37,DATA!$B:$B,0),FALSE),0)</f>
        <v>120900</v>
      </c>
      <c r="R37">
        <f>IFERROR(HLOOKUP(LEFT(R$1,4)&amp;"-"&amp;RIGHT(R$1,2),DATA!$D$1:$HT$52,MATCH($A37,DATA!$B:$B,0),FALSE),0)</f>
        <v>129200</v>
      </c>
    </row>
    <row r="38" spans="1:18" x14ac:dyDescent="0.3">
      <c r="A38" t="s">
        <v>255</v>
      </c>
      <c r="B38">
        <f>IFERROR(HLOOKUP(LEFT(B$1,4)&amp;"-"&amp;RIGHT(B$1,2),DATA!$D$1:$HT$52,MATCH($A38,DATA!$B:$B,0),FALSE),0)</f>
        <v>71500</v>
      </c>
      <c r="C38">
        <f>IFERROR(HLOOKUP(LEFT(C$1,4)&amp;"-"&amp;RIGHT(C$1,2),DATA!$D$1:$HT$52,MATCH($A38,DATA!$B:$B,0),FALSE),0)</f>
        <v>75700</v>
      </c>
      <c r="D38">
        <f>IFERROR(HLOOKUP(LEFT(D$1,4)&amp;"-"&amp;RIGHT(D$1,2),DATA!$D$1:$HT$52,MATCH($A38,DATA!$B:$B,0),FALSE),0)</f>
        <v>78800</v>
      </c>
      <c r="E38">
        <f>IFERROR(HLOOKUP(LEFT(E$1,4)&amp;"-"&amp;RIGHT(E$1,2),DATA!$D$1:$HT$52,MATCH($A38,DATA!$B:$B,0),FALSE),0)</f>
        <v>82600</v>
      </c>
      <c r="F38">
        <f>IFERROR(HLOOKUP(LEFT(F$1,4)&amp;"-"&amp;RIGHT(F$1,2),DATA!$D$1:$HT$52,MATCH($A38,DATA!$B:$B,0),FALSE),0)</f>
        <v>86000</v>
      </c>
      <c r="G38">
        <f>IFERROR(HLOOKUP(LEFT(G$1,4)&amp;"-"&amp;RIGHT(G$1,2),DATA!$D$1:$HT$52,MATCH($A38,DATA!$B:$B,0),FALSE),0)</f>
        <v>90200</v>
      </c>
      <c r="H38">
        <f>IFERROR(HLOOKUP(LEFT(H$1,4)&amp;"-"&amp;RIGHT(H$1,2),DATA!$D$1:$HT$52,MATCH($A38,DATA!$B:$B,0),FALSE),0)</f>
        <v>93300</v>
      </c>
      <c r="I38">
        <f>IFERROR(HLOOKUP(LEFT(I$1,4)&amp;"-"&amp;RIGHT(I$1,2),DATA!$D$1:$HT$52,MATCH($A38,DATA!$B:$B,0),FALSE),0)</f>
        <v>94500</v>
      </c>
      <c r="J38">
        <f>IFERROR(HLOOKUP(LEFT(J$1,4)&amp;"-"&amp;RIGHT(J$1,2),DATA!$D$1:$HT$52,MATCH($A38,DATA!$B:$B,0),FALSE),0)</f>
        <v>96400</v>
      </c>
      <c r="K38">
        <f>IFERROR(HLOOKUP(LEFT(K$1,4)&amp;"-"&amp;RIGHT(K$1,2),DATA!$D$1:$HT$52,MATCH($A38,DATA!$B:$B,0),FALSE),0)</f>
        <v>95400</v>
      </c>
      <c r="L38">
        <f>IFERROR(HLOOKUP(LEFT(L$1,4)&amp;"-"&amp;RIGHT(L$1,2),DATA!$D$1:$HT$52,MATCH($A38,DATA!$B:$B,0),FALSE),0)</f>
        <v>93100</v>
      </c>
      <c r="M38">
        <f>IFERROR(HLOOKUP(LEFT(M$1,4)&amp;"-"&amp;RIGHT(M$1,2),DATA!$D$1:$HT$52,MATCH($A38,DATA!$B:$B,0),FALSE),0)</f>
        <v>93200</v>
      </c>
      <c r="N38">
        <f>IFERROR(HLOOKUP(LEFT(N$1,4)&amp;"-"&amp;RIGHT(N$1,2),DATA!$D$1:$HT$52,MATCH($A38,DATA!$B:$B,0),FALSE),0)</f>
        <v>94300</v>
      </c>
      <c r="O38">
        <f>IFERROR(HLOOKUP(LEFT(O$1,4)&amp;"-"&amp;RIGHT(O$1,2),DATA!$D$1:$HT$52,MATCH($A38,DATA!$B:$B,0),FALSE),0)</f>
        <v>96000</v>
      </c>
      <c r="P38">
        <f>IFERROR(HLOOKUP(LEFT(P$1,4)&amp;"-"&amp;RIGHT(P$1,2),DATA!$D$1:$HT$52,MATCH($A38,DATA!$B:$B,0),FALSE),0)</f>
        <v>100300</v>
      </c>
      <c r="Q38">
        <f>IFERROR(HLOOKUP(LEFT(Q$1,4)&amp;"-"&amp;RIGHT(Q$1,2),DATA!$D$1:$HT$52,MATCH($A38,DATA!$B:$B,0),FALSE),0)</f>
        <v>110000</v>
      </c>
      <c r="R38">
        <f>IFERROR(HLOOKUP(LEFT(R$1,4)&amp;"-"&amp;RIGHT(R$1,2),DATA!$D$1:$HT$52,MATCH($A38,DATA!$B:$B,0),FALSE),0)</f>
        <v>116400</v>
      </c>
    </row>
    <row r="39" spans="1:18" x14ac:dyDescent="0.3">
      <c r="A39" t="s">
        <v>254</v>
      </c>
      <c r="B39">
        <f>IFERROR(HLOOKUP(LEFT(B$1,4)&amp;"-"&amp;RIGHT(B$1,2),DATA!$D$1:$HT$52,MATCH($A39,DATA!$B:$B,0),FALSE),0)</f>
        <v>153300</v>
      </c>
      <c r="C39">
        <f>IFERROR(HLOOKUP(LEFT(C$1,4)&amp;"-"&amp;RIGHT(C$1,2),DATA!$D$1:$HT$52,MATCH($A39,DATA!$B:$B,0),FALSE),0)</f>
        <v>161000</v>
      </c>
      <c r="D39">
        <f>IFERROR(HLOOKUP(LEFT(D$1,4)&amp;"-"&amp;RIGHT(D$1,2),DATA!$D$1:$HT$52,MATCH($A39,DATA!$B:$B,0),FALSE),0)</f>
        <v>171500</v>
      </c>
      <c r="E39">
        <f>IFERROR(HLOOKUP(LEFT(E$1,4)&amp;"-"&amp;RIGHT(E$1,2),DATA!$D$1:$HT$52,MATCH($A39,DATA!$B:$B,0),FALSE),0)</f>
        <v>193000</v>
      </c>
      <c r="F39">
        <f>IFERROR(HLOOKUP(LEFT(F$1,4)&amp;"-"&amp;RIGHT(F$1,2),DATA!$D$1:$HT$52,MATCH($A39,DATA!$B:$B,0),FALSE),0)</f>
        <v>240300</v>
      </c>
      <c r="G39">
        <f>IFERROR(HLOOKUP(LEFT(G$1,4)&amp;"-"&amp;RIGHT(G$1,2),DATA!$D$1:$HT$52,MATCH($A39,DATA!$B:$B,0),FALSE),0)</f>
        <v>264600</v>
      </c>
      <c r="H39">
        <f>IFERROR(HLOOKUP(LEFT(H$1,4)&amp;"-"&amp;RIGHT(H$1,2),DATA!$D$1:$HT$52,MATCH($A39,DATA!$B:$B,0),FALSE),0)</f>
        <v>260700</v>
      </c>
      <c r="I39">
        <f>IFERROR(HLOOKUP(LEFT(I$1,4)&amp;"-"&amp;RIGHT(I$1,2),DATA!$D$1:$HT$52,MATCH($A39,DATA!$B:$B,0),FALSE),0)</f>
        <v>239200</v>
      </c>
      <c r="J39">
        <f>IFERROR(HLOOKUP(LEFT(J$1,4)&amp;"-"&amp;RIGHT(J$1,2),DATA!$D$1:$HT$52,MATCH($A39,DATA!$B:$B,0),FALSE),0)</f>
        <v>222400</v>
      </c>
      <c r="K39">
        <f>IFERROR(HLOOKUP(LEFT(K$1,4)&amp;"-"&amp;RIGHT(K$1,2),DATA!$D$1:$HT$52,MATCH($A39,DATA!$B:$B,0),FALSE),0)</f>
        <v>204700</v>
      </c>
      <c r="L39">
        <f>IFERROR(HLOOKUP(LEFT(L$1,4)&amp;"-"&amp;RIGHT(L$1,2),DATA!$D$1:$HT$52,MATCH($A39,DATA!$B:$B,0),FALSE),0)</f>
        <v>191600</v>
      </c>
      <c r="M39">
        <f>IFERROR(HLOOKUP(LEFT(M$1,4)&amp;"-"&amp;RIGHT(M$1,2),DATA!$D$1:$HT$52,MATCH($A39,DATA!$B:$B,0),FALSE),0)</f>
        <v>199500</v>
      </c>
      <c r="N39">
        <f>IFERROR(HLOOKUP(LEFT(N$1,4)&amp;"-"&amp;RIGHT(N$1,2),DATA!$D$1:$HT$52,MATCH($A39,DATA!$B:$B,0),FALSE),0)</f>
        <v>221500</v>
      </c>
      <c r="O39">
        <f>IFERROR(HLOOKUP(LEFT(O$1,4)&amp;"-"&amp;RIGHT(O$1,2),DATA!$D$1:$HT$52,MATCH($A39,DATA!$B:$B,0),FALSE),0)</f>
        <v>238100</v>
      </c>
      <c r="P39">
        <f>IFERROR(HLOOKUP(LEFT(P$1,4)&amp;"-"&amp;RIGHT(P$1,2),DATA!$D$1:$HT$52,MATCH($A39,DATA!$B:$B,0),FALSE),0)</f>
        <v>265100</v>
      </c>
      <c r="Q39">
        <f>IFERROR(HLOOKUP(LEFT(Q$1,4)&amp;"-"&amp;RIGHT(Q$1,2),DATA!$D$1:$HT$52,MATCH($A39,DATA!$B:$B,0),FALSE),0)</f>
        <v>299500</v>
      </c>
      <c r="R39">
        <f>IFERROR(HLOOKUP(LEFT(R$1,4)&amp;"-"&amp;RIGHT(R$1,2),DATA!$D$1:$HT$52,MATCH($A39,DATA!$B:$B,0),FALSE),0)</f>
        <v>323000</v>
      </c>
    </row>
    <row r="40" spans="1:18" x14ac:dyDescent="0.3">
      <c r="A40" t="s">
        <v>233</v>
      </c>
      <c r="B40">
        <f>IFERROR(HLOOKUP(LEFT(B$1,4)&amp;"-"&amp;RIGHT(B$1,2),DATA!$D$1:$HT$52,MATCH($A40,DATA!$B:$B,0),FALSE),0)</f>
        <v>101400</v>
      </c>
      <c r="C40">
        <f>IFERROR(HLOOKUP(LEFT(C$1,4)&amp;"-"&amp;RIGHT(C$1,2),DATA!$D$1:$HT$52,MATCH($A40,DATA!$B:$B,0),FALSE),0)</f>
        <v>109300</v>
      </c>
      <c r="D40">
        <f>IFERROR(HLOOKUP(LEFT(D$1,4)&amp;"-"&amp;RIGHT(D$1,2),DATA!$D$1:$HT$52,MATCH($A40,DATA!$B:$B,0),FALSE),0)</f>
        <v>121100</v>
      </c>
      <c r="E40">
        <f>IFERROR(HLOOKUP(LEFT(E$1,4)&amp;"-"&amp;RIGHT(E$1,2),DATA!$D$1:$HT$52,MATCH($A40,DATA!$B:$B,0),FALSE),0)</f>
        <v>134000</v>
      </c>
      <c r="F40">
        <f>IFERROR(HLOOKUP(LEFT(F$1,4)&amp;"-"&amp;RIGHT(F$1,2),DATA!$D$1:$HT$52,MATCH($A40,DATA!$B:$B,0),FALSE),0)</f>
        <v>146600</v>
      </c>
      <c r="G40">
        <f>IFERROR(HLOOKUP(LEFT(G$1,4)&amp;"-"&amp;RIGHT(G$1,2),DATA!$D$1:$HT$52,MATCH($A40,DATA!$B:$B,0),FALSE),0)</f>
        <v>155000</v>
      </c>
      <c r="H40">
        <f>IFERROR(HLOOKUP(LEFT(H$1,4)&amp;"-"&amp;RIGHT(H$1,2),DATA!$D$1:$HT$52,MATCH($A40,DATA!$B:$B,0),FALSE),0)</f>
        <v>156900</v>
      </c>
      <c r="I40">
        <f>IFERROR(HLOOKUP(LEFT(I$1,4)&amp;"-"&amp;RIGHT(I$1,2),DATA!$D$1:$HT$52,MATCH($A40,DATA!$B:$B,0),FALSE),0)</f>
        <v>152500</v>
      </c>
      <c r="J40">
        <f>IFERROR(HLOOKUP(LEFT(J$1,4)&amp;"-"&amp;RIGHT(J$1,2),DATA!$D$1:$HT$52,MATCH($A40,DATA!$B:$B,0),FALSE),0)</f>
        <v>149900</v>
      </c>
      <c r="K40">
        <f>IFERROR(HLOOKUP(LEFT(K$1,4)&amp;"-"&amp;RIGHT(K$1,2),DATA!$D$1:$HT$52,MATCH($A40,DATA!$B:$B,0),FALSE),0)</f>
        <v>146200</v>
      </c>
      <c r="L40">
        <f>IFERROR(HLOOKUP(LEFT(L$1,4)&amp;"-"&amp;RIGHT(L$1,2),DATA!$D$1:$HT$52,MATCH($A40,DATA!$B:$B,0),FALSE),0)</f>
        <v>140100</v>
      </c>
      <c r="M40">
        <f>IFERROR(HLOOKUP(LEFT(M$1,4)&amp;"-"&amp;RIGHT(M$1,2),DATA!$D$1:$HT$52,MATCH($A40,DATA!$B:$B,0),FALSE),0)</f>
        <v>139700</v>
      </c>
      <c r="N40">
        <f>IFERROR(HLOOKUP(LEFT(N$1,4)&amp;"-"&amp;RIGHT(N$1,2),DATA!$D$1:$HT$52,MATCH($A40,DATA!$B:$B,0),FALSE),0)</f>
        <v>141900</v>
      </c>
      <c r="O40">
        <f>IFERROR(HLOOKUP(LEFT(O$1,4)&amp;"-"&amp;RIGHT(O$1,2),DATA!$D$1:$HT$52,MATCH($A40,DATA!$B:$B,0),FALSE),0)</f>
        <v>144600</v>
      </c>
      <c r="P40">
        <f>IFERROR(HLOOKUP(LEFT(P$1,4)&amp;"-"&amp;RIGHT(P$1,2),DATA!$D$1:$HT$52,MATCH($A40,DATA!$B:$B,0),FALSE),0)</f>
        <v>148300</v>
      </c>
      <c r="Q40">
        <f>IFERROR(HLOOKUP(LEFT(Q$1,4)&amp;"-"&amp;RIGHT(Q$1,2),DATA!$D$1:$HT$52,MATCH($A40,DATA!$B:$B,0),FALSE),0)</f>
        <v>154500</v>
      </c>
      <c r="R40">
        <f>IFERROR(HLOOKUP(LEFT(R$1,4)&amp;"-"&amp;RIGHT(R$1,2),DATA!$D$1:$HT$52,MATCH($A40,DATA!$B:$B,0),FALSE),0)</f>
        <v>163300</v>
      </c>
    </row>
    <row r="41" spans="1:18" x14ac:dyDescent="0.3">
      <c r="A41" t="s">
        <v>270</v>
      </c>
      <c r="B41">
        <f>IFERROR(HLOOKUP(LEFT(B$1,4)&amp;"-"&amp;RIGHT(B$1,2),DATA!$D$1:$HT$52,MATCH($A41,DATA!$B:$B,0),FALSE),0)</f>
        <v>168800</v>
      </c>
      <c r="C41">
        <f>IFERROR(HLOOKUP(LEFT(C$1,4)&amp;"-"&amp;RIGHT(C$1,2),DATA!$D$1:$HT$52,MATCH($A41,DATA!$B:$B,0),FALSE),0)</f>
        <v>203700</v>
      </c>
      <c r="D41">
        <f>IFERROR(HLOOKUP(LEFT(D$1,4)&amp;"-"&amp;RIGHT(D$1,2),DATA!$D$1:$HT$52,MATCH($A41,DATA!$B:$B,0),FALSE),0)</f>
        <v>245600</v>
      </c>
      <c r="E41">
        <f>IFERROR(HLOOKUP(LEFT(E$1,4)&amp;"-"&amp;RIGHT(E$1,2),DATA!$D$1:$HT$52,MATCH($A41,DATA!$B:$B,0),FALSE),0)</f>
        <v>281900</v>
      </c>
      <c r="F41">
        <f>IFERROR(HLOOKUP(LEFT(F$1,4)&amp;"-"&amp;RIGHT(F$1,2),DATA!$D$1:$HT$52,MATCH($A41,DATA!$B:$B,0),FALSE),0)</f>
        <v>296500</v>
      </c>
      <c r="G41">
        <f>IFERROR(HLOOKUP(LEFT(G$1,4)&amp;"-"&amp;RIGHT(G$1,2),DATA!$D$1:$HT$52,MATCH($A41,DATA!$B:$B,0),FALSE),0)</f>
        <v>288400</v>
      </c>
      <c r="H41">
        <f>IFERROR(HLOOKUP(LEFT(H$1,4)&amp;"-"&amp;RIGHT(H$1,2),DATA!$D$1:$HT$52,MATCH($A41,DATA!$B:$B,0),FALSE),0)</f>
        <v>271300</v>
      </c>
      <c r="I41">
        <f>IFERROR(HLOOKUP(LEFT(I$1,4)&amp;"-"&amp;RIGHT(I$1,2),DATA!$D$1:$HT$52,MATCH($A41,DATA!$B:$B,0),FALSE),0)</f>
        <v>240300</v>
      </c>
      <c r="J41">
        <f>IFERROR(HLOOKUP(LEFT(J$1,4)&amp;"-"&amp;RIGHT(J$1,2),DATA!$D$1:$HT$52,MATCH($A41,DATA!$B:$B,0),FALSE),0)</f>
        <v>225200</v>
      </c>
      <c r="K41">
        <f>IFERROR(HLOOKUP(LEFT(K$1,4)&amp;"-"&amp;RIGHT(K$1,2),DATA!$D$1:$HT$52,MATCH($A41,DATA!$B:$B,0),FALSE),0)</f>
        <v>221500</v>
      </c>
      <c r="L41">
        <f>IFERROR(HLOOKUP(LEFT(L$1,4)&amp;"-"&amp;RIGHT(L$1,2),DATA!$D$1:$HT$52,MATCH($A41,DATA!$B:$B,0),FALSE),0)</f>
        <v>202900</v>
      </c>
      <c r="M41">
        <f>IFERROR(HLOOKUP(LEFT(M$1,4)&amp;"-"&amp;RIGHT(M$1,2),DATA!$D$1:$HT$52,MATCH($A41,DATA!$B:$B,0),FALSE),0)</f>
        <v>206700</v>
      </c>
      <c r="N41">
        <f>IFERROR(HLOOKUP(LEFT(N$1,4)&amp;"-"&amp;RIGHT(N$1,2),DATA!$D$1:$HT$52,MATCH($A41,DATA!$B:$B,0),FALSE),0)</f>
        <v>212300</v>
      </c>
      <c r="O41">
        <f>IFERROR(HLOOKUP(LEFT(O$1,4)&amp;"-"&amp;RIGHT(O$1,2),DATA!$D$1:$HT$52,MATCH($A41,DATA!$B:$B,0),FALSE),0)</f>
        <v>219900</v>
      </c>
      <c r="P41">
        <f>IFERROR(HLOOKUP(LEFT(P$1,4)&amp;"-"&amp;RIGHT(P$1,2),DATA!$D$1:$HT$52,MATCH($A41,DATA!$B:$B,0),FALSE),0)</f>
        <v>227500</v>
      </c>
      <c r="Q41">
        <f>IFERROR(HLOOKUP(LEFT(Q$1,4)&amp;"-"&amp;RIGHT(Q$1,2),DATA!$D$1:$HT$52,MATCH($A41,DATA!$B:$B,0),FALSE),0)</f>
        <v>243500</v>
      </c>
      <c r="R41">
        <f>IFERROR(HLOOKUP(LEFT(R$1,4)&amp;"-"&amp;RIGHT(R$1,2),DATA!$D$1:$HT$52,MATCH($A41,DATA!$B:$B,0),FALSE),0)</f>
        <v>265500</v>
      </c>
    </row>
    <row r="42" spans="1:18" x14ac:dyDescent="0.3">
      <c r="A42" t="s">
        <v>251</v>
      </c>
      <c r="B42">
        <f>IFERROR(HLOOKUP(LEFT(B$1,4)&amp;"-"&amp;RIGHT(B$1,2),DATA!$D$1:$HT$52,MATCH($A42,DATA!$B:$B,0),FALSE),0)</f>
        <v>105500</v>
      </c>
      <c r="C42">
        <f>IFERROR(HLOOKUP(LEFT(C$1,4)&amp;"-"&amp;RIGHT(C$1,2),DATA!$D$1:$HT$52,MATCH($A42,DATA!$B:$B,0),FALSE),0)</f>
        <v>109200</v>
      </c>
      <c r="D42">
        <f>IFERROR(HLOOKUP(LEFT(D$1,4)&amp;"-"&amp;RIGHT(D$1,2),DATA!$D$1:$HT$52,MATCH($A42,DATA!$B:$B,0),FALSE),0)</f>
        <v>114700</v>
      </c>
      <c r="E42">
        <f>IFERROR(HLOOKUP(LEFT(E$1,4)&amp;"-"&amp;RIGHT(E$1,2),DATA!$D$1:$HT$52,MATCH($A42,DATA!$B:$B,0),FALSE),0)</f>
        <v>123000</v>
      </c>
      <c r="F42">
        <f>IFERROR(HLOOKUP(LEFT(F$1,4)&amp;"-"&amp;RIGHT(F$1,2),DATA!$D$1:$HT$52,MATCH($A42,DATA!$B:$B,0),FALSE),0)</f>
        <v>133700</v>
      </c>
      <c r="G42">
        <f>IFERROR(HLOOKUP(LEFT(G$1,4)&amp;"-"&amp;RIGHT(G$1,2),DATA!$D$1:$HT$52,MATCH($A42,DATA!$B:$B,0),FALSE),0)</f>
        <v>143800</v>
      </c>
      <c r="H42">
        <f>IFERROR(HLOOKUP(LEFT(H$1,4)&amp;"-"&amp;RIGHT(H$1,2),DATA!$D$1:$HT$52,MATCH($A42,DATA!$B:$B,0),FALSE),0)</f>
        <v>143200</v>
      </c>
      <c r="I42">
        <f>IFERROR(HLOOKUP(LEFT(I$1,4)&amp;"-"&amp;RIGHT(I$1,2),DATA!$D$1:$HT$52,MATCH($A42,DATA!$B:$B,0),FALSE),0)</f>
        <v>137100</v>
      </c>
      <c r="J42">
        <f>IFERROR(HLOOKUP(LEFT(J$1,4)&amp;"-"&amp;RIGHT(J$1,2),DATA!$D$1:$HT$52,MATCH($A42,DATA!$B:$B,0),FALSE),0)</f>
        <v>131700</v>
      </c>
      <c r="K42">
        <f>IFERROR(HLOOKUP(LEFT(K$1,4)&amp;"-"&amp;RIGHT(K$1,2),DATA!$D$1:$HT$52,MATCH($A42,DATA!$B:$B,0),FALSE),0)</f>
        <v>126600</v>
      </c>
      <c r="L42">
        <f>IFERROR(HLOOKUP(LEFT(L$1,4)&amp;"-"&amp;RIGHT(L$1,2),DATA!$D$1:$HT$52,MATCH($A42,DATA!$B:$B,0),FALSE),0)</f>
        <v>121100</v>
      </c>
      <c r="M42">
        <f>IFERROR(HLOOKUP(LEFT(M$1,4)&amp;"-"&amp;RIGHT(M$1,2),DATA!$D$1:$HT$52,MATCH($A42,DATA!$B:$B,0),FALSE),0)</f>
        <v>121500</v>
      </c>
      <c r="N42">
        <f>IFERROR(HLOOKUP(LEFT(N$1,4)&amp;"-"&amp;RIGHT(N$1,2),DATA!$D$1:$HT$52,MATCH($A42,DATA!$B:$B,0),FALSE),0)</f>
        <v>125100</v>
      </c>
      <c r="O42">
        <f>IFERROR(HLOOKUP(LEFT(O$1,4)&amp;"-"&amp;RIGHT(O$1,2),DATA!$D$1:$HT$52,MATCH($A42,DATA!$B:$B,0),FALSE),0)</f>
        <v>126800</v>
      </c>
      <c r="P42">
        <f>IFERROR(HLOOKUP(LEFT(P$1,4)&amp;"-"&amp;RIGHT(P$1,2),DATA!$D$1:$HT$52,MATCH($A42,DATA!$B:$B,0),FALSE),0)</f>
        <v>132400</v>
      </c>
      <c r="Q42">
        <f>IFERROR(HLOOKUP(LEFT(Q$1,4)&amp;"-"&amp;RIGHT(Q$1,2),DATA!$D$1:$HT$52,MATCH($A42,DATA!$B:$B,0),FALSE),0)</f>
        <v>144400</v>
      </c>
      <c r="R42">
        <f>IFERROR(HLOOKUP(LEFT(R$1,4)&amp;"-"&amp;RIGHT(R$1,2),DATA!$D$1:$HT$52,MATCH($A42,DATA!$B:$B,0),FALSE),0)</f>
        <v>153100</v>
      </c>
    </row>
    <row r="43" spans="1:18" x14ac:dyDescent="0.3">
      <c r="A43" t="s">
        <v>273</v>
      </c>
      <c r="B43">
        <f>IFERROR(HLOOKUP(LEFT(B$1,4)&amp;"-"&amp;RIGHT(B$1,2),DATA!$D$1:$HT$52,MATCH($A43,DATA!$B:$B,0),FALSE),0)</f>
        <v>96600</v>
      </c>
      <c r="C43">
        <f>IFERROR(HLOOKUP(LEFT(C$1,4)&amp;"-"&amp;RIGHT(C$1,2),DATA!$D$1:$HT$52,MATCH($A43,DATA!$B:$B,0),FALSE),0)</f>
        <v>102400</v>
      </c>
      <c r="D43">
        <f>IFERROR(HLOOKUP(LEFT(D$1,4)&amp;"-"&amp;RIGHT(D$1,2),DATA!$D$1:$HT$52,MATCH($A43,DATA!$B:$B,0),FALSE),0)</f>
        <v>103800</v>
      </c>
      <c r="E43">
        <f>IFERROR(HLOOKUP(LEFT(E$1,4)&amp;"-"&amp;RIGHT(E$1,2),DATA!$D$1:$HT$52,MATCH($A43,DATA!$B:$B,0),FALSE),0)</f>
        <v>120400</v>
      </c>
      <c r="F43">
        <f>IFERROR(HLOOKUP(LEFT(F$1,4)&amp;"-"&amp;RIGHT(F$1,2),DATA!$D$1:$HT$52,MATCH($A43,DATA!$B:$B,0),FALSE),0)</f>
        <v>130800</v>
      </c>
      <c r="G43">
        <f>IFERROR(HLOOKUP(LEFT(G$1,4)&amp;"-"&amp;RIGHT(G$1,2),DATA!$D$1:$HT$52,MATCH($A43,DATA!$B:$B,0),FALSE),0)</f>
        <v>138300</v>
      </c>
      <c r="H43">
        <f>IFERROR(HLOOKUP(LEFT(H$1,4)&amp;"-"&amp;RIGHT(H$1,2),DATA!$D$1:$HT$52,MATCH($A43,DATA!$B:$B,0),FALSE),0)</f>
        <v>138900</v>
      </c>
      <c r="I43">
        <f>IFERROR(HLOOKUP(LEFT(I$1,4)&amp;"-"&amp;RIGHT(I$1,2),DATA!$D$1:$HT$52,MATCH($A43,DATA!$B:$B,0),FALSE),0)</f>
        <v>140300</v>
      </c>
      <c r="J43">
        <f>IFERROR(HLOOKUP(LEFT(J$1,4)&amp;"-"&amp;RIGHT(J$1,2),DATA!$D$1:$HT$52,MATCH($A43,DATA!$B:$B,0),FALSE),0)</f>
        <v>139900</v>
      </c>
      <c r="K43">
        <f>IFERROR(HLOOKUP(LEFT(K$1,4)&amp;"-"&amp;RIGHT(K$1,2),DATA!$D$1:$HT$52,MATCH($A43,DATA!$B:$B,0),FALSE),0)</f>
        <v>140100</v>
      </c>
      <c r="L43">
        <f>IFERROR(HLOOKUP(LEFT(L$1,4)&amp;"-"&amp;RIGHT(L$1,2),DATA!$D$1:$HT$52,MATCH($A43,DATA!$B:$B,0),FALSE),0)</f>
        <v>137700</v>
      </c>
      <c r="M43">
        <f>IFERROR(HLOOKUP(LEFT(M$1,4)&amp;"-"&amp;RIGHT(M$1,2),DATA!$D$1:$HT$52,MATCH($A43,DATA!$B:$B,0),FALSE),0)</f>
        <v>141800</v>
      </c>
      <c r="N43">
        <f>IFERROR(HLOOKUP(LEFT(N$1,4)&amp;"-"&amp;RIGHT(N$1,2),DATA!$D$1:$HT$52,MATCH($A43,DATA!$B:$B,0),FALSE),0)</f>
        <v>146300</v>
      </c>
      <c r="O43">
        <f>IFERROR(HLOOKUP(LEFT(O$1,4)&amp;"-"&amp;RIGHT(O$1,2),DATA!$D$1:$HT$52,MATCH($A43,DATA!$B:$B,0),FALSE),0)</f>
        <v>151400</v>
      </c>
      <c r="P43">
        <f>IFERROR(HLOOKUP(LEFT(P$1,4)&amp;"-"&amp;RIGHT(P$1,2),DATA!$D$1:$HT$52,MATCH($A43,DATA!$B:$B,0),FALSE),0)</f>
        <v>160700</v>
      </c>
      <c r="Q43">
        <f>IFERROR(HLOOKUP(LEFT(Q$1,4)&amp;"-"&amp;RIGHT(Q$1,2),DATA!$D$1:$HT$52,MATCH($A43,DATA!$B:$B,0),FALSE),0)</f>
        <v>168300</v>
      </c>
      <c r="R43">
        <f>IFERROR(HLOOKUP(LEFT(R$1,4)&amp;"-"&amp;RIGHT(R$1,2),DATA!$D$1:$HT$52,MATCH($A43,DATA!$B:$B,0),FALSE),0)</f>
        <v>176200</v>
      </c>
    </row>
    <row r="44" spans="1:18" x14ac:dyDescent="0.3">
      <c r="A44" t="s">
        <v>244</v>
      </c>
      <c r="B44">
        <f>IFERROR(HLOOKUP(LEFT(B$1,4)&amp;"-"&amp;RIGHT(B$1,2),DATA!$D$1:$HT$52,MATCH($A44,DATA!$B:$B,0),FALSE),0)</f>
        <v>90700</v>
      </c>
      <c r="C44">
        <f>IFERROR(HLOOKUP(LEFT(C$1,4)&amp;"-"&amp;RIGHT(C$1,2),DATA!$D$1:$HT$52,MATCH($A44,DATA!$B:$B,0),FALSE),0)</f>
        <v>93600</v>
      </c>
      <c r="D44">
        <f>IFERROR(HLOOKUP(LEFT(D$1,4)&amp;"-"&amp;RIGHT(D$1,2),DATA!$D$1:$HT$52,MATCH($A44,DATA!$B:$B,0),FALSE),0)</f>
        <v>97500</v>
      </c>
      <c r="E44">
        <f>IFERROR(HLOOKUP(LEFT(E$1,4)&amp;"-"&amp;RIGHT(E$1,2),DATA!$D$1:$HT$52,MATCH($A44,DATA!$B:$B,0),FALSE),0)</f>
        <v>104600</v>
      </c>
      <c r="F44">
        <f>IFERROR(HLOOKUP(LEFT(F$1,4)&amp;"-"&amp;RIGHT(F$1,2),DATA!$D$1:$HT$52,MATCH($A44,DATA!$B:$B,0),FALSE),0)</f>
        <v>115200</v>
      </c>
      <c r="G44">
        <f>IFERROR(HLOOKUP(LEFT(G$1,4)&amp;"-"&amp;RIGHT(G$1,2),DATA!$D$1:$HT$52,MATCH($A44,DATA!$B:$B,0),FALSE),0)</f>
        <v>122900</v>
      </c>
      <c r="H44">
        <f>IFERROR(HLOOKUP(LEFT(H$1,4)&amp;"-"&amp;RIGHT(H$1,2),DATA!$D$1:$HT$52,MATCH($A44,DATA!$B:$B,0),FALSE),0)</f>
        <v>125000</v>
      </c>
      <c r="I44">
        <f>IFERROR(HLOOKUP(LEFT(I$1,4)&amp;"-"&amp;RIGHT(I$1,2),DATA!$D$1:$HT$52,MATCH($A44,DATA!$B:$B,0),FALSE),0)</f>
        <v>121200</v>
      </c>
      <c r="J44">
        <f>IFERROR(HLOOKUP(LEFT(J$1,4)&amp;"-"&amp;RIGHT(J$1,2),DATA!$D$1:$HT$52,MATCH($A44,DATA!$B:$B,0),FALSE),0)</f>
        <v>118000</v>
      </c>
      <c r="K44">
        <f>IFERROR(HLOOKUP(LEFT(K$1,4)&amp;"-"&amp;RIGHT(K$1,2),DATA!$D$1:$HT$52,MATCH($A44,DATA!$B:$B,0),FALSE),0)</f>
        <v>115200</v>
      </c>
      <c r="L44">
        <f>IFERROR(HLOOKUP(LEFT(L$1,4)&amp;"-"&amp;RIGHT(L$1,2),DATA!$D$1:$HT$52,MATCH($A44,DATA!$B:$B,0),FALSE),0)</f>
        <v>111600</v>
      </c>
      <c r="M44">
        <f>IFERROR(HLOOKUP(LEFT(M$1,4)&amp;"-"&amp;RIGHT(M$1,2),DATA!$D$1:$HT$52,MATCH($A44,DATA!$B:$B,0),FALSE),0)</f>
        <v>112000</v>
      </c>
      <c r="N44">
        <f>IFERROR(HLOOKUP(LEFT(N$1,4)&amp;"-"&amp;RIGHT(N$1,2),DATA!$D$1:$HT$52,MATCH($A44,DATA!$B:$B,0),FALSE),0)</f>
        <v>116500</v>
      </c>
      <c r="O44">
        <f>IFERROR(HLOOKUP(LEFT(O$1,4)&amp;"-"&amp;RIGHT(O$1,2),DATA!$D$1:$HT$52,MATCH($A44,DATA!$B:$B,0),FALSE),0)</f>
        <v>121700</v>
      </c>
      <c r="P44">
        <f>IFERROR(HLOOKUP(LEFT(P$1,4)&amp;"-"&amp;RIGHT(P$1,2),DATA!$D$1:$HT$52,MATCH($A44,DATA!$B:$B,0),FALSE),0)</f>
        <v>129100</v>
      </c>
      <c r="Q44">
        <f>IFERROR(HLOOKUP(LEFT(Q$1,4)&amp;"-"&amp;RIGHT(Q$1,2),DATA!$D$1:$HT$52,MATCH($A44,DATA!$B:$B,0),FALSE),0)</f>
        <v>139900</v>
      </c>
      <c r="R44">
        <f>IFERROR(HLOOKUP(LEFT(R$1,4)&amp;"-"&amp;RIGHT(R$1,2),DATA!$D$1:$HT$52,MATCH($A44,DATA!$B:$B,0),FALSE),0)</f>
        <v>151100</v>
      </c>
    </row>
    <row r="45" spans="1:18" x14ac:dyDescent="0.3">
      <c r="A45" t="s">
        <v>229</v>
      </c>
      <c r="B45">
        <f>IFERROR(HLOOKUP(LEFT(B$1,4)&amp;"-"&amp;RIGHT(B$1,2),DATA!$D$1:$HT$52,MATCH($A45,DATA!$B:$B,0),FALSE),0)</f>
        <v>110700</v>
      </c>
      <c r="C45">
        <f>IFERROR(HLOOKUP(LEFT(C$1,4)&amp;"-"&amp;RIGHT(C$1,2),DATA!$D$1:$HT$52,MATCH($A45,DATA!$B:$B,0),FALSE),0)</f>
        <v>115100</v>
      </c>
      <c r="D45">
        <f>IFERROR(HLOOKUP(LEFT(D$1,4)&amp;"-"&amp;RIGHT(D$1,2),DATA!$D$1:$HT$52,MATCH($A45,DATA!$B:$B,0),FALSE),0)</f>
        <v>117800</v>
      </c>
      <c r="E45">
        <f>IFERROR(HLOOKUP(LEFT(E$1,4)&amp;"-"&amp;RIGHT(E$1,2),DATA!$D$1:$HT$52,MATCH($A45,DATA!$B:$B,0),FALSE),0)</f>
        <v>126500</v>
      </c>
      <c r="F45">
        <f>IFERROR(HLOOKUP(LEFT(F$1,4)&amp;"-"&amp;RIGHT(F$1,2),DATA!$D$1:$HT$52,MATCH($A45,DATA!$B:$B,0),FALSE),0)</f>
        <v>129800</v>
      </c>
      <c r="G45">
        <f>IFERROR(HLOOKUP(LEFT(G$1,4)&amp;"-"&amp;RIGHT(G$1,2),DATA!$D$1:$HT$52,MATCH($A45,DATA!$B:$B,0),FALSE),0)</f>
        <v>134800</v>
      </c>
      <c r="H45">
        <f>IFERROR(HLOOKUP(LEFT(H$1,4)&amp;"-"&amp;RIGHT(H$1,2),DATA!$D$1:$HT$52,MATCH($A45,DATA!$B:$B,0),FALSE),0)</f>
        <v>138900</v>
      </c>
      <c r="I45">
        <f>IFERROR(HLOOKUP(LEFT(I$1,4)&amp;"-"&amp;RIGHT(I$1,2),DATA!$D$1:$HT$52,MATCH($A45,DATA!$B:$B,0),FALSE),0)</f>
        <v>132700</v>
      </c>
      <c r="J45">
        <f>IFERROR(HLOOKUP(LEFT(J$1,4)&amp;"-"&amp;RIGHT(J$1,2),DATA!$D$1:$HT$52,MATCH($A45,DATA!$B:$B,0),FALSE),0)</f>
        <v>130900</v>
      </c>
      <c r="K45">
        <f>IFERROR(HLOOKUP(LEFT(K$1,4)&amp;"-"&amp;RIGHT(K$1,2),DATA!$D$1:$HT$52,MATCH($A45,DATA!$B:$B,0),FALSE),0)</f>
        <v>128900</v>
      </c>
      <c r="L45">
        <f>IFERROR(HLOOKUP(LEFT(L$1,4)&amp;"-"&amp;RIGHT(L$1,2),DATA!$D$1:$HT$52,MATCH($A45,DATA!$B:$B,0),FALSE),0)</f>
        <v>125900</v>
      </c>
      <c r="M45">
        <f>IFERROR(HLOOKUP(LEFT(M$1,4)&amp;"-"&amp;RIGHT(M$1,2),DATA!$D$1:$HT$52,MATCH($A45,DATA!$B:$B,0),FALSE),0)</f>
        <v>127600</v>
      </c>
      <c r="N45">
        <f>IFERROR(HLOOKUP(LEFT(N$1,4)&amp;"-"&amp;RIGHT(N$1,2),DATA!$D$1:$HT$52,MATCH($A45,DATA!$B:$B,0),FALSE),0)</f>
        <v>133400</v>
      </c>
      <c r="O45">
        <f>IFERROR(HLOOKUP(LEFT(O$1,4)&amp;"-"&amp;RIGHT(O$1,2),DATA!$D$1:$HT$52,MATCH($A45,DATA!$B:$B,0),FALSE),0)</f>
        <v>141000</v>
      </c>
      <c r="P45">
        <f>IFERROR(HLOOKUP(LEFT(P$1,4)&amp;"-"&amp;RIGHT(P$1,2),DATA!$D$1:$HT$52,MATCH($A45,DATA!$B:$B,0),FALSE),0)</f>
        <v>151000</v>
      </c>
      <c r="Q45">
        <f>IFERROR(HLOOKUP(LEFT(Q$1,4)&amp;"-"&amp;RIGHT(Q$1,2),DATA!$D$1:$HT$52,MATCH($A45,DATA!$B:$B,0),FALSE),0)</f>
        <v>167500</v>
      </c>
      <c r="R45">
        <f>IFERROR(HLOOKUP(LEFT(R$1,4)&amp;"-"&amp;RIGHT(R$1,2),DATA!$D$1:$HT$52,MATCH($A45,DATA!$B:$B,0),FALSE),0)</f>
        <v>179500</v>
      </c>
    </row>
    <row r="46" spans="1:18" x14ac:dyDescent="0.3">
      <c r="A46" t="s">
        <v>261</v>
      </c>
      <c r="B46">
        <f>IFERROR(HLOOKUP(LEFT(B$1,4)&amp;"-"&amp;RIGHT(B$1,2),DATA!$D$1:$HT$52,MATCH($A46,DATA!$B:$B,0),FALSE),0)</f>
        <v>165300</v>
      </c>
      <c r="C46">
        <f>IFERROR(HLOOKUP(LEFT(C$1,4)&amp;"-"&amp;RIGHT(C$1,2),DATA!$D$1:$HT$52,MATCH($A46,DATA!$B:$B,0),FALSE),0)</f>
        <v>165400</v>
      </c>
      <c r="D46">
        <f>IFERROR(HLOOKUP(LEFT(D$1,4)&amp;"-"&amp;RIGHT(D$1,2),DATA!$D$1:$HT$52,MATCH($A46,DATA!$B:$B,0),FALSE),0)</f>
        <v>169700</v>
      </c>
      <c r="E46">
        <f>IFERROR(HLOOKUP(LEFT(E$1,4)&amp;"-"&amp;RIGHT(E$1,2),DATA!$D$1:$HT$52,MATCH($A46,DATA!$B:$B,0),FALSE),0)</f>
        <v>169000</v>
      </c>
      <c r="F46">
        <f>IFERROR(HLOOKUP(LEFT(F$1,4)&amp;"-"&amp;RIGHT(F$1,2),DATA!$D$1:$HT$52,MATCH($A46,DATA!$B:$B,0),FALSE),0)</f>
        <v>181000</v>
      </c>
      <c r="G46">
        <f>IFERROR(HLOOKUP(LEFT(G$1,4)&amp;"-"&amp;RIGHT(G$1,2),DATA!$D$1:$HT$52,MATCH($A46,DATA!$B:$B,0),FALSE),0)</f>
        <v>212400</v>
      </c>
      <c r="H46">
        <f>IFERROR(HLOOKUP(LEFT(H$1,4)&amp;"-"&amp;RIGHT(H$1,2),DATA!$D$1:$HT$52,MATCH($A46,DATA!$B:$B,0),FALSE),0)</f>
        <v>243500</v>
      </c>
      <c r="I46">
        <f>IFERROR(HLOOKUP(LEFT(I$1,4)&amp;"-"&amp;RIGHT(I$1,2),DATA!$D$1:$HT$52,MATCH($A46,DATA!$B:$B,0),FALSE),0)</f>
        <v>238000</v>
      </c>
      <c r="J46">
        <f>IFERROR(HLOOKUP(LEFT(J$1,4)&amp;"-"&amp;RIGHT(J$1,2),DATA!$D$1:$HT$52,MATCH($A46,DATA!$B:$B,0),FALSE),0)</f>
        <v>218500</v>
      </c>
      <c r="K46">
        <f>IFERROR(HLOOKUP(LEFT(K$1,4)&amp;"-"&amp;RIGHT(K$1,2),DATA!$D$1:$HT$52,MATCH($A46,DATA!$B:$B,0),FALSE),0)</f>
        <v>203700</v>
      </c>
      <c r="L46">
        <f>IFERROR(HLOOKUP(LEFT(L$1,4)&amp;"-"&amp;RIGHT(L$1,2),DATA!$D$1:$HT$52,MATCH($A46,DATA!$B:$B,0),FALSE),0)</f>
        <v>193500</v>
      </c>
      <c r="M46">
        <f>IFERROR(HLOOKUP(LEFT(M$1,4)&amp;"-"&amp;RIGHT(M$1,2),DATA!$D$1:$HT$52,MATCH($A46,DATA!$B:$B,0),FALSE),0)</f>
        <v>198200</v>
      </c>
      <c r="N46">
        <f>IFERROR(HLOOKUP(LEFT(N$1,4)&amp;"-"&amp;RIGHT(N$1,2),DATA!$D$1:$HT$52,MATCH($A46,DATA!$B:$B,0),FALSE),0)</f>
        <v>217500</v>
      </c>
      <c r="O46">
        <f>IFERROR(HLOOKUP(LEFT(O$1,4)&amp;"-"&amp;RIGHT(O$1,2),DATA!$D$1:$HT$52,MATCH($A46,DATA!$B:$B,0),FALSE),0)</f>
        <v>229700</v>
      </c>
      <c r="P46">
        <f>IFERROR(HLOOKUP(LEFT(P$1,4)&amp;"-"&amp;RIGHT(P$1,2),DATA!$D$1:$HT$52,MATCH($A46,DATA!$B:$B,0),FALSE),0)</f>
        <v>244400</v>
      </c>
      <c r="Q46">
        <f>IFERROR(HLOOKUP(LEFT(Q$1,4)&amp;"-"&amp;RIGHT(Q$1,2),DATA!$D$1:$HT$52,MATCH($A46,DATA!$B:$B,0),FALSE),0)</f>
        <v>265000</v>
      </c>
      <c r="R46">
        <f>IFERROR(HLOOKUP(LEFT(R$1,4)&amp;"-"&amp;RIGHT(R$1,2),DATA!$D$1:$HT$52,MATCH($A46,DATA!$B:$B,0),FALSE),0)</f>
        <v>291300</v>
      </c>
    </row>
    <row r="47" spans="1:18" x14ac:dyDescent="0.3">
      <c r="A47" t="s">
        <v>276</v>
      </c>
      <c r="B47">
        <f>IFERROR(HLOOKUP(LEFT(B$1,4)&amp;"-"&amp;RIGHT(B$1,2),DATA!$D$1:$HT$52,MATCH($A47,DATA!$B:$B,0),FALSE),0)</f>
        <v>120600</v>
      </c>
      <c r="C47">
        <f>IFERROR(HLOOKUP(LEFT(C$1,4)&amp;"-"&amp;RIGHT(C$1,2),DATA!$D$1:$HT$52,MATCH($A47,DATA!$B:$B,0),FALSE),0)</f>
        <v>132200</v>
      </c>
      <c r="D47">
        <f>IFERROR(HLOOKUP(LEFT(D$1,4)&amp;"-"&amp;RIGHT(D$1,2),DATA!$D$1:$HT$52,MATCH($A47,DATA!$B:$B,0),FALSE),0)</f>
        <v>146100</v>
      </c>
      <c r="E47">
        <f>IFERROR(HLOOKUP(LEFT(E$1,4)&amp;"-"&amp;RIGHT(E$1,2),DATA!$D$1:$HT$52,MATCH($A47,DATA!$B:$B,0),FALSE),0)</f>
        <v>164500</v>
      </c>
      <c r="F47">
        <f>IFERROR(HLOOKUP(LEFT(F$1,4)&amp;"-"&amp;RIGHT(F$1,2),DATA!$D$1:$HT$52,MATCH($A47,DATA!$B:$B,0),FALSE),0)</f>
        <v>184100</v>
      </c>
      <c r="G47">
        <f>IFERROR(HLOOKUP(LEFT(G$1,4)&amp;"-"&amp;RIGHT(G$1,2),DATA!$D$1:$HT$52,MATCH($A47,DATA!$B:$B,0),FALSE),0)</f>
        <v>191700</v>
      </c>
      <c r="H47">
        <f>IFERROR(HLOOKUP(LEFT(H$1,4)&amp;"-"&amp;RIGHT(H$1,2),DATA!$D$1:$HT$52,MATCH($A47,DATA!$B:$B,0),FALSE),0)</f>
        <v>192100</v>
      </c>
      <c r="I47">
        <f>IFERROR(HLOOKUP(LEFT(I$1,4)&amp;"-"&amp;RIGHT(I$1,2),DATA!$D$1:$HT$52,MATCH($A47,DATA!$B:$B,0),FALSE),0)</f>
        <v>185200</v>
      </c>
      <c r="J47">
        <f>IFERROR(HLOOKUP(LEFT(J$1,4)&amp;"-"&amp;RIGHT(J$1,2),DATA!$D$1:$HT$52,MATCH($A47,DATA!$B:$B,0),FALSE),0)</f>
        <v>178400</v>
      </c>
      <c r="K47">
        <f>IFERROR(HLOOKUP(LEFT(K$1,4)&amp;"-"&amp;RIGHT(K$1,2),DATA!$D$1:$HT$52,MATCH($A47,DATA!$B:$B,0),FALSE),0)</f>
        <v>179400</v>
      </c>
      <c r="L47">
        <f>IFERROR(HLOOKUP(LEFT(L$1,4)&amp;"-"&amp;RIGHT(L$1,2),DATA!$D$1:$HT$52,MATCH($A47,DATA!$B:$B,0),FALSE),0)</f>
        <v>179200</v>
      </c>
      <c r="M47">
        <f>IFERROR(HLOOKUP(LEFT(M$1,4)&amp;"-"&amp;RIGHT(M$1,2),DATA!$D$1:$HT$52,MATCH($A47,DATA!$B:$B,0),FALSE),0)</f>
        <v>179100</v>
      </c>
      <c r="N47">
        <f>IFERROR(HLOOKUP(LEFT(N$1,4)&amp;"-"&amp;RIGHT(N$1,2),DATA!$D$1:$HT$52,MATCH($A47,DATA!$B:$B,0),FALSE),0)</f>
        <v>181100</v>
      </c>
      <c r="O47">
        <f>IFERROR(HLOOKUP(LEFT(O$1,4)&amp;"-"&amp;RIGHT(O$1,2),DATA!$D$1:$HT$52,MATCH($A47,DATA!$B:$B,0),FALSE),0)</f>
        <v>183300</v>
      </c>
      <c r="P47">
        <f>IFERROR(HLOOKUP(LEFT(P$1,4)&amp;"-"&amp;RIGHT(P$1,2),DATA!$D$1:$HT$52,MATCH($A47,DATA!$B:$B,0),FALSE),0)</f>
        <v>183300</v>
      </c>
      <c r="Q47">
        <f>IFERROR(HLOOKUP(LEFT(Q$1,4)&amp;"-"&amp;RIGHT(Q$1,2),DATA!$D$1:$HT$52,MATCH($A47,DATA!$B:$B,0),FALSE),0)</f>
        <v>187300</v>
      </c>
      <c r="R47">
        <f>IFERROR(HLOOKUP(LEFT(R$1,4)&amp;"-"&amp;RIGHT(R$1,2),DATA!$D$1:$HT$52,MATCH($A47,DATA!$B:$B,0),FALSE),0)</f>
        <v>194100</v>
      </c>
    </row>
    <row r="48" spans="1:18" x14ac:dyDescent="0.3">
      <c r="A48" t="s">
        <v>239</v>
      </c>
      <c r="B48">
        <f>IFERROR(HLOOKUP(LEFT(B$1,4)&amp;"-"&amp;RIGHT(B$1,2),DATA!$D$1:$HT$52,MATCH($A48,DATA!$B:$B,0),FALSE),0)</f>
        <v>145500</v>
      </c>
      <c r="C48">
        <f>IFERROR(HLOOKUP(LEFT(C$1,4)&amp;"-"&amp;RIGHT(C$1,2),DATA!$D$1:$HT$52,MATCH($A48,DATA!$B:$B,0),FALSE),0)</f>
        <v>160200</v>
      </c>
      <c r="D48">
        <f>IFERROR(HLOOKUP(LEFT(D$1,4)&amp;"-"&amp;RIGHT(D$1,2),DATA!$D$1:$HT$52,MATCH($A48,DATA!$B:$B,0),FALSE),0)</f>
        <v>180500</v>
      </c>
      <c r="E48">
        <f>IFERROR(HLOOKUP(LEFT(E$1,4)&amp;"-"&amp;RIGHT(E$1,2),DATA!$D$1:$HT$52,MATCH($A48,DATA!$B:$B,0),FALSE),0)</f>
        <v>223800</v>
      </c>
      <c r="F48">
        <f>IFERROR(HLOOKUP(LEFT(F$1,4)&amp;"-"&amp;RIGHT(F$1,2),DATA!$D$1:$HT$52,MATCH($A48,DATA!$B:$B,0),FALSE),0)</f>
        <v>260400</v>
      </c>
      <c r="G48">
        <f>IFERROR(HLOOKUP(LEFT(G$1,4)&amp;"-"&amp;RIGHT(G$1,2),DATA!$D$1:$HT$52,MATCH($A48,DATA!$B:$B,0),FALSE),0)</f>
        <v>264700</v>
      </c>
      <c r="H48">
        <f>IFERROR(HLOOKUP(LEFT(H$1,4)&amp;"-"&amp;RIGHT(H$1,2),DATA!$D$1:$HT$52,MATCH($A48,DATA!$B:$B,0),FALSE),0)</f>
        <v>257000</v>
      </c>
      <c r="I48">
        <f>IFERROR(HLOOKUP(LEFT(I$1,4)&amp;"-"&amp;RIGHT(I$1,2),DATA!$D$1:$HT$52,MATCH($A48,DATA!$B:$B,0),FALSE),0)</f>
        <v>233500</v>
      </c>
      <c r="J48">
        <f>IFERROR(HLOOKUP(LEFT(J$1,4)&amp;"-"&amp;RIGHT(J$1,2),DATA!$D$1:$HT$52,MATCH($A48,DATA!$B:$B,0),FALSE),0)</f>
        <v>219300</v>
      </c>
      <c r="K48">
        <f>IFERROR(HLOOKUP(LEFT(K$1,4)&amp;"-"&amp;RIGHT(K$1,2),DATA!$D$1:$HT$52,MATCH($A48,DATA!$B:$B,0),FALSE),0)</f>
        <v>212200</v>
      </c>
      <c r="L48">
        <f>IFERROR(HLOOKUP(LEFT(L$1,4)&amp;"-"&amp;RIGHT(L$1,2),DATA!$D$1:$HT$52,MATCH($A48,DATA!$B:$B,0),FALSE),0)</f>
        <v>204500</v>
      </c>
      <c r="M48">
        <f>IFERROR(HLOOKUP(LEFT(M$1,4)&amp;"-"&amp;RIGHT(M$1,2),DATA!$D$1:$HT$52,MATCH($A48,DATA!$B:$B,0),FALSE),0)</f>
        <v>210000</v>
      </c>
      <c r="N48">
        <f>IFERROR(HLOOKUP(LEFT(N$1,4)&amp;"-"&amp;RIGHT(N$1,2),DATA!$D$1:$HT$52,MATCH($A48,DATA!$B:$B,0),FALSE),0)</f>
        <v>217700</v>
      </c>
      <c r="O48">
        <f>IFERROR(HLOOKUP(LEFT(O$1,4)&amp;"-"&amp;RIGHT(O$1,2),DATA!$D$1:$HT$52,MATCH($A48,DATA!$B:$B,0),FALSE),0)</f>
        <v>223000</v>
      </c>
      <c r="P48">
        <f>IFERROR(HLOOKUP(LEFT(P$1,4)&amp;"-"&amp;RIGHT(P$1,2),DATA!$D$1:$HT$52,MATCH($A48,DATA!$B:$B,0),FALSE),0)</f>
        <v>227900</v>
      </c>
      <c r="Q48">
        <f>IFERROR(HLOOKUP(LEFT(Q$1,4)&amp;"-"&amp;RIGHT(Q$1,2),DATA!$D$1:$HT$52,MATCH($A48,DATA!$B:$B,0),FALSE),0)</f>
        <v>236800</v>
      </c>
      <c r="R48">
        <f>IFERROR(HLOOKUP(LEFT(R$1,4)&amp;"-"&amp;RIGHT(R$1,2),DATA!$D$1:$HT$52,MATCH($A48,DATA!$B:$B,0),FALSE),0)</f>
        <v>246400</v>
      </c>
    </row>
    <row r="49" spans="1:18" x14ac:dyDescent="0.3">
      <c r="A49" t="s">
        <v>240</v>
      </c>
      <c r="B49">
        <f>IFERROR(HLOOKUP(LEFT(B$1,4)&amp;"-"&amp;RIGHT(B$1,2),DATA!$D$1:$HT$52,MATCH($A49,DATA!$B:$B,0),FALSE),0)</f>
        <v>179300</v>
      </c>
      <c r="C49">
        <f>IFERROR(HLOOKUP(LEFT(C$1,4)&amp;"-"&amp;RIGHT(C$1,2),DATA!$D$1:$HT$52,MATCH($A49,DATA!$B:$B,0),FALSE),0)</f>
        <v>184900</v>
      </c>
      <c r="D49">
        <f>IFERROR(HLOOKUP(LEFT(D$1,4)&amp;"-"&amp;RIGHT(D$1,2),DATA!$D$1:$HT$52,MATCH($A49,DATA!$B:$B,0),FALSE),0)</f>
        <v>199900</v>
      </c>
      <c r="E49">
        <f>IFERROR(HLOOKUP(LEFT(E$1,4)&amp;"-"&amp;RIGHT(E$1,2),DATA!$D$1:$HT$52,MATCH($A49,DATA!$B:$B,0),FALSE),0)</f>
        <v>228500</v>
      </c>
      <c r="F49">
        <f>IFERROR(HLOOKUP(LEFT(F$1,4)&amp;"-"&amp;RIGHT(F$1,2),DATA!$D$1:$HT$52,MATCH($A49,DATA!$B:$B,0),FALSE),0)</f>
        <v>271600</v>
      </c>
      <c r="G49">
        <f>IFERROR(HLOOKUP(LEFT(G$1,4)&amp;"-"&amp;RIGHT(G$1,2),DATA!$D$1:$HT$52,MATCH($A49,DATA!$B:$B,0),FALSE),0)</f>
        <v>303300</v>
      </c>
      <c r="H49">
        <f>IFERROR(HLOOKUP(LEFT(H$1,4)&amp;"-"&amp;RIGHT(H$1,2),DATA!$D$1:$HT$52,MATCH($A49,DATA!$B:$B,0),FALSE),0)</f>
        <v>303200</v>
      </c>
      <c r="I49">
        <f>IFERROR(HLOOKUP(LEFT(I$1,4)&amp;"-"&amp;RIGHT(I$1,2),DATA!$D$1:$HT$52,MATCH($A49,DATA!$B:$B,0),FALSE),0)</f>
        <v>276900</v>
      </c>
      <c r="J49">
        <f>IFERROR(HLOOKUP(LEFT(J$1,4)&amp;"-"&amp;RIGHT(J$1,2),DATA!$D$1:$HT$52,MATCH($A49,DATA!$B:$B,0),FALSE),0)</f>
        <v>253200</v>
      </c>
      <c r="K49">
        <f>IFERROR(HLOOKUP(LEFT(K$1,4)&amp;"-"&amp;RIGHT(K$1,2),DATA!$D$1:$HT$52,MATCH($A49,DATA!$B:$B,0),FALSE),0)</f>
        <v>235900</v>
      </c>
      <c r="L49">
        <f>IFERROR(HLOOKUP(LEFT(L$1,4)&amp;"-"&amp;RIGHT(L$1,2),DATA!$D$1:$HT$52,MATCH($A49,DATA!$B:$B,0),FALSE),0)</f>
        <v>217100</v>
      </c>
      <c r="M49">
        <f>IFERROR(HLOOKUP(LEFT(M$1,4)&amp;"-"&amp;RIGHT(M$1,2),DATA!$D$1:$HT$52,MATCH($A49,DATA!$B:$B,0),FALSE),0)</f>
        <v>223500</v>
      </c>
      <c r="N49">
        <f>IFERROR(HLOOKUP(LEFT(N$1,4)&amp;"-"&amp;RIGHT(N$1,2),DATA!$D$1:$HT$52,MATCH($A49,DATA!$B:$B,0),FALSE),0)</f>
        <v>244000</v>
      </c>
      <c r="O49">
        <f>IFERROR(HLOOKUP(LEFT(O$1,4)&amp;"-"&amp;RIGHT(O$1,2),DATA!$D$1:$HT$52,MATCH($A49,DATA!$B:$B,0),FALSE),0)</f>
        <v>259900</v>
      </c>
      <c r="P49">
        <f>IFERROR(HLOOKUP(LEFT(P$1,4)&amp;"-"&amp;RIGHT(P$1,2),DATA!$D$1:$HT$52,MATCH($A49,DATA!$B:$B,0),FALSE),0)</f>
        <v>285200</v>
      </c>
      <c r="Q49">
        <f>IFERROR(HLOOKUP(LEFT(Q$1,4)&amp;"-"&amp;RIGHT(Q$1,2),DATA!$D$1:$HT$52,MATCH($A49,DATA!$B:$B,0),FALSE),0)</f>
        <v>320500</v>
      </c>
      <c r="R49">
        <f>IFERROR(HLOOKUP(LEFT(R$1,4)&amp;"-"&amp;RIGHT(R$1,2),DATA!$D$1:$HT$52,MATCH($A49,DATA!$B:$B,0),FALSE),0)</f>
        <v>354700</v>
      </c>
    </row>
    <row r="50" spans="1:18" x14ac:dyDescent="0.3">
      <c r="A50" t="s">
        <v>264</v>
      </c>
      <c r="B50">
        <f>IFERROR(HLOOKUP(LEFT(B$1,4)&amp;"-"&amp;RIGHT(B$1,2),DATA!$D$1:$HT$52,MATCH($A50,DATA!$B:$B,0),FALSE),0)</f>
        <v>61400</v>
      </c>
      <c r="C50">
        <f>IFERROR(HLOOKUP(LEFT(C$1,4)&amp;"-"&amp;RIGHT(C$1,2),DATA!$D$1:$HT$52,MATCH($A50,DATA!$B:$B,0),FALSE),0)</f>
        <v>65900</v>
      </c>
      <c r="D50">
        <f>IFERROR(HLOOKUP(LEFT(D$1,4)&amp;"-"&amp;RIGHT(D$1,2),DATA!$D$1:$HT$52,MATCH($A50,DATA!$B:$B,0),FALSE),0)</f>
        <v>68900</v>
      </c>
      <c r="E50">
        <f>IFERROR(HLOOKUP(LEFT(E$1,4)&amp;"-"&amp;RIGHT(E$1,2),DATA!$D$1:$HT$52,MATCH($A50,DATA!$B:$B,0),FALSE),0)</f>
        <v>77500</v>
      </c>
      <c r="F50">
        <f>IFERROR(HLOOKUP(LEFT(F$1,4)&amp;"-"&amp;RIGHT(F$1,2),DATA!$D$1:$HT$52,MATCH($A50,DATA!$B:$B,0),FALSE),0)</f>
        <v>81300</v>
      </c>
      <c r="G50">
        <f>IFERROR(HLOOKUP(LEFT(G$1,4)&amp;"-"&amp;RIGHT(G$1,2),DATA!$D$1:$HT$52,MATCH($A50,DATA!$B:$B,0),FALSE),0)</f>
        <v>84400</v>
      </c>
      <c r="H50">
        <f>IFERROR(HLOOKUP(LEFT(H$1,4)&amp;"-"&amp;RIGHT(H$1,2),DATA!$D$1:$HT$52,MATCH($A50,DATA!$B:$B,0),FALSE),0)</f>
        <v>83800</v>
      </c>
      <c r="I50">
        <f>IFERROR(HLOOKUP(LEFT(I$1,4)&amp;"-"&amp;RIGHT(I$1,2),DATA!$D$1:$HT$52,MATCH($A50,DATA!$B:$B,0),FALSE),0)</f>
        <v>81900</v>
      </c>
      <c r="J50">
        <f>IFERROR(HLOOKUP(LEFT(J$1,4)&amp;"-"&amp;RIGHT(J$1,2),DATA!$D$1:$HT$52,MATCH($A50,DATA!$B:$B,0),FALSE),0)</f>
        <v>80500</v>
      </c>
      <c r="K50">
        <f>IFERROR(HLOOKUP(LEFT(K$1,4)&amp;"-"&amp;RIGHT(K$1,2),DATA!$D$1:$HT$52,MATCH($A50,DATA!$B:$B,0),FALSE),0)</f>
        <v>80600</v>
      </c>
      <c r="L50">
        <f>IFERROR(HLOOKUP(LEFT(L$1,4)&amp;"-"&amp;RIGHT(L$1,2),DATA!$D$1:$HT$52,MATCH($A50,DATA!$B:$B,0),FALSE),0)</f>
        <v>79500</v>
      </c>
      <c r="M50">
        <f>IFERROR(HLOOKUP(LEFT(M$1,4)&amp;"-"&amp;RIGHT(M$1,2),DATA!$D$1:$HT$52,MATCH($A50,DATA!$B:$B,0),FALSE),0)</f>
        <v>80600</v>
      </c>
      <c r="N50">
        <f>IFERROR(HLOOKUP(LEFT(N$1,4)&amp;"-"&amp;RIGHT(N$1,2),DATA!$D$1:$HT$52,MATCH($A50,DATA!$B:$B,0),FALSE),0)</f>
        <v>83000</v>
      </c>
      <c r="O50">
        <f>IFERROR(HLOOKUP(LEFT(O$1,4)&amp;"-"&amp;RIGHT(O$1,2),DATA!$D$1:$HT$52,MATCH($A50,DATA!$B:$B,0),FALSE),0)</f>
        <v>84500</v>
      </c>
      <c r="P50">
        <f>IFERROR(HLOOKUP(LEFT(P$1,4)&amp;"-"&amp;RIGHT(P$1,2),DATA!$D$1:$HT$52,MATCH($A50,DATA!$B:$B,0),FALSE),0)</f>
        <v>89000</v>
      </c>
      <c r="Q50">
        <f>IFERROR(HLOOKUP(LEFT(Q$1,4)&amp;"-"&amp;RIGHT(Q$1,2),DATA!$D$1:$HT$52,MATCH($A50,DATA!$B:$B,0),FALSE),0)</f>
        <v>90500</v>
      </c>
      <c r="R50">
        <f>IFERROR(HLOOKUP(LEFT(R$1,4)&amp;"-"&amp;RIGHT(R$1,2),DATA!$D$1:$HT$52,MATCH($A50,DATA!$B:$B,0),FALSE),0)</f>
        <v>92400</v>
      </c>
    </row>
    <row r="51" spans="1:18" x14ac:dyDescent="0.3">
      <c r="A51" t="s">
        <v>247</v>
      </c>
      <c r="B51">
        <f>IFERROR(HLOOKUP(LEFT(B$1,4)&amp;"-"&amp;RIGHT(B$1,2),DATA!$D$1:$HT$52,MATCH($A51,DATA!$B:$B,0),FALSE),0)</f>
        <v>133500</v>
      </c>
      <c r="C51">
        <f>IFERROR(HLOOKUP(LEFT(C$1,4)&amp;"-"&amp;RIGHT(C$1,2),DATA!$D$1:$HT$52,MATCH($A51,DATA!$B:$B,0),FALSE),0)</f>
        <v>141500</v>
      </c>
      <c r="D51">
        <f>IFERROR(HLOOKUP(LEFT(D$1,4)&amp;"-"&amp;RIGHT(D$1,2),DATA!$D$1:$HT$52,MATCH($A51,DATA!$B:$B,0),FALSE),0)</f>
        <v>150400</v>
      </c>
      <c r="E51">
        <f>IFERROR(HLOOKUP(LEFT(E$1,4)&amp;"-"&amp;RIGHT(E$1,2),DATA!$D$1:$HT$52,MATCH($A51,DATA!$B:$B,0),FALSE),0)</f>
        <v>161000</v>
      </c>
      <c r="F51">
        <f>IFERROR(HLOOKUP(LEFT(F$1,4)&amp;"-"&amp;RIGHT(F$1,2),DATA!$D$1:$HT$52,MATCH($A51,DATA!$B:$B,0),FALSE),0)</f>
        <v>157900</v>
      </c>
      <c r="G51">
        <f>IFERROR(HLOOKUP(LEFT(G$1,4)&amp;"-"&amp;RIGHT(G$1,2),DATA!$D$1:$HT$52,MATCH($A51,DATA!$B:$B,0),FALSE),0)</f>
        <v>160900</v>
      </c>
      <c r="H51">
        <f>IFERROR(HLOOKUP(LEFT(H$1,4)&amp;"-"&amp;RIGHT(H$1,2),DATA!$D$1:$HT$52,MATCH($A51,DATA!$B:$B,0),FALSE),0)</f>
        <v>161000</v>
      </c>
      <c r="I51">
        <f>IFERROR(HLOOKUP(LEFT(I$1,4)&amp;"-"&amp;RIGHT(I$1,2),DATA!$D$1:$HT$52,MATCH($A51,DATA!$B:$B,0),FALSE),0)</f>
        <v>154800</v>
      </c>
      <c r="J51">
        <f>IFERROR(HLOOKUP(LEFT(J$1,4)&amp;"-"&amp;RIGHT(J$1,2),DATA!$D$1:$HT$52,MATCH($A51,DATA!$B:$B,0),FALSE),0)</f>
        <v>149700</v>
      </c>
      <c r="K51">
        <f>IFERROR(HLOOKUP(LEFT(K$1,4)&amp;"-"&amp;RIGHT(K$1,2),DATA!$D$1:$HT$52,MATCH($A51,DATA!$B:$B,0),FALSE),0)</f>
        <v>144100</v>
      </c>
      <c r="L51">
        <f>IFERROR(HLOOKUP(LEFT(L$1,4)&amp;"-"&amp;RIGHT(L$1,2),DATA!$D$1:$HT$52,MATCH($A51,DATA!$B:$B,0),FALSE),0)</f>
        <v>139100</v>
      </c>
      <c r="M51">
        <f>IFERROR(HLOOKUP(LEFT(M$1,4)&amp;"-"&amp;RIGHT(M$1,2),DATA!$D$1:$HT$52,MATCH($A51,DATA!$B:$B,0),FALSE),0)</f>
        <v>139400</v>
      </c>
      <c r="N51">
        <f>IFERROR(HLOOKUP(LEFT(N$1,4)&amp;"-"&amp;RIGHT(N$1,2),DATA!$D$1:$HT$52,MATCH($A51,DATA!$B:$B,0),FALSE),0)</f>
        <v>145300</v>
      </c>
      <c r="O51">
        <f>IFERROR(HLOOKUP(LEFT(O$1,4)&amp;"-"&amp;RIGHT(O$1,2),DATA!$D$1:$HT$52,MATCH($A51,DATA!$B:$B,0),FALSE),0)</f>
        <v>147300</v>
      </c>
      <c r="P51">
        <f>IFERROR(HLOOKUP(LEFT(P$1,4)&amp;"-"&amp;RIGHT(P$1,2),DATA!$D$1:$HT$52,MATCH($A51,DATA!$B:$B,0),FALSE),0)</f>
        <v>153500</v>
      </c>
      <c r="Q51">
        <f>IFERROR(HLOOKUP(LEFT(Q$1,4)&amp;"-"&amp;RIGHT(Q$1,2),DATA!$D$1:$HT$52,MATCH($A51,DATA!$B:$B,0),FALSE),0)</f>
        <v>162900</v>
      </c>
      <c r="R51">
        <f>IFERROR(HLOOKUP(LEFT(R$1,4)&amp;"-"&amp;RIGHT(R$1,2),DATA!$D$1:$HT$52,MATCH($A51,DATA!$B:$B,0),FALSE),0)</f>
        <v>173600</v>
      </c>
    </row>
    <row r="52" spans="1:18" x14ac:dyDescent="0.3">
      <c r="A52" t="s">
        <v>278</v>
      </c>
      <c r="B52">
        <f>IFERROR(HLOOKUP(LEFT(B$1,4)&amp;"-"&amp;RIGHT(B$1,2),DATA!$D$1:$HT$52,MATCH($A52,DATA!$B:$B,0),FALSE),0)</f>
        <v>151300</v>
      </c>
      <c r="C52">
        <f>IFERROR(HLOOKUP(LEFT(C$1,4)&amp;"-"&amp;RIGHT(C$1,2),DATA!$D$1:$HT$52,MATCH($A52,DATA!$B:$B,0),FALSE),0)</f>
        <v>152300</v>
      </c>
      <c r="D52">
        <f>IFERROR(HLOOKUP(LEFT(D$1,4)&amp;"-"&amp;RIGHT(D$1,2),DATA!$D$1:$HT$52,MATCH($A52,DATA!$B:$B,0),FALSE),0)</f>
        <v>163600</v>
      </c>
      <c r="E52">
        <f>IFERROR(HLOOKUP(LEFT(E$1,4)&amp;"-"&amp;RIGHT(E$1,2),DATA!$D$1:$HT$52,MATCH($A52,DATA!$B:$B,0),FALSE),0)</f>
        <v>176600</v>
      </c>
      <c r="F52">
        <f>IFERROR(HLOOKUP(LEFT(F$1,4)&amp;"-"&amp;RIGHT(F$1,2),DATA!$D$1:$HT$52,MATCH($A52,DATA!$B:$B,0),FALSE),0)</f>
        <v>156200</v>
      </c>
      <c r="G52">
        <f>IFERROR(HLOOKUP(LEFT(G$1,4)&amp;"-"&amp;RIGHT(G$1,2),DATA!$D$1:$HT$52,MATCH($A52,DATA!$B:$B,0),FALSE),0)</f>
        <v>173100</v>
      </c>
      <c r="H52">
        <f>IFERROR(HLOOKUP(LEFT(H$1,4)&amp;"-"&amp;RIGHT(H$1,2),DATA!$D$1:$HT$52,MATCH($A52,DATA!$B:$B,0),FALSE),0)</f>
        <v>183300</v>
      </c>
      <c r="I52">
        <f>IFERROR(HLOOKUP(LEFT(I$1,4)&amp;"-"&amp;RIGHT(I$1,2),DATA!$D$1:$HT$52,MATCH($A52,DATA!$B:$B,0),FALSE),0)</f>
        <v>182900</v>
      </c>
      <c r="J52">
        <f>IFERROR(HLOOKUP(LEFT(J$1,4)&amp;"-"&amp;RIGHT(J$1,2),DATA!$D$1:$HT$52,MATCH($A52,DATA!$B:$B,0),FALSE),0)</f>
        <v>180900</v>
      </c>
      <c r="K52">
        <f>IFERROR(HLOOKUP(LEFT(K$1,4)&amp;"-"&amp;RIGHT(K$1,2),DATA!$D$1:$HT$52,MATCH($A52,DATA!$B:$B,0),FALSE),0)</f>
        <v>181700</v>
      </c>
      <c r="L52">
        <f>IFERROR(HLOOKUP(LEFT(L$1,4)&amp;"-"&amp;RIGHT(L$1,2),DATA!$D$1:$HT$52,MATCH($A52,DATA!$B:$B,0),FALSE),0)</f>
        <v>181900</v>
      </c>
      <c r="M52">
        <f>IFERROR(HLOOKUP(LEFT(M$1,4)&amp;"-"&amp;RIGHT(M$1,2),DATA!$D$1:$HT$52,MATCH($A52,DATA!$B:$B,0),FALSE),0)</f>
        <v>186400</v>
      </c>
      <c r="N52">
        <f>IFERROR(HLOOKUP(LEFT(N$1,4)&amp;"-"&amp;RIGHT(N$1,2),DATA!$D$1:$HT$52,MATCH($A52,DATA!$B:$B,0),FALSE),0)</f>
        <v>190100</v>
      </c>
      <c r="O52">
        <f>IFERROR(HLOOKUP(LEFT(O$1,4)&amp;"-"&amp;RIGHT(O$1,2),DATA!$D$1:$HT$52,MATCH($A52,DATA!$B:$B,0),FALSE),0)</f>
        <v>195100</v>
      </c>
      <c r="P52">
        <f>IFERROR(HLOOKUP(LEFT(P$1,4)&amp;"-"&amp;RIGHT(P$1,2),DATA!$D$1:$HT$52,MATCH($A52,DATA!$B:$B,0),FALSE),0)</f>
        <v>204400</v>
      </c>
      <c r="Q52">
        <f>IFERROR(HLOOKUP(LEFT(Q$1,4)&amp;"-"&amp;RIGHT(Q$1,2),DATA!$D$1:$HT$52,MATCH($A52,DATA!$B:$B,0),FALSE),0)</f>
        <v>209400</v>
      </c>
      <c r="R52">
        <f>IFERROR(HLOOKUP(LEFT(R$1,4)&amp;"-"&amp;RIGHT(R$1,2),DATA!$D$1:$HT$52,MATCH($A52,DATA!$B:$B,0),FALSE),0)</f>
        <v>213000</v>
      </c>
    </row>
  </sheetData>
  <autoFilter ref="A1:R1" xr:uid="{00000000-0009-0000-0000-000002000000}">
    <sortState xmlns:xlrd2="http://schemas.microsoft.com/office/spreadsheetml/2017/richdata2" ref="A2:R52">
      <sortCondition ref="A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56"/>
  <sheetViews>
    <sheetView workbookViewId="0"/>
  </sheetViews>
  <sheetFormatPr defaultRowHeight="14.4" x14ac:dyDescent="0.3"/>
  <cols>
    <col min="1" max="1" width="83.77734375" customWidth="1"/>
    <col min="2" max="2" width="9.21875" customWidth="1"/>
    <col min="3" max="3" width="19.5546875" customWidth="1"/>
    <col min="4" max="4" width="11.6640625" customWidth="1"/>
    <col min="5" max="20" width="11.77734375" customWidth="1"/>
    <col min="21" max="21" width="14" customWidth="1"/>
    <col min="23" max="23" width="23.33203125" customWidth="1"/>
    <col min="24" max="24" width="15.44140625" customWidth="1"/>
  </cols>
  <sheetData>
    <row r="1" spans="1:24" x14ac:dyDescent="0.3">
      <c r="A1" t="s">
        <v>279</v>
      </c>
      <c r="B1" t="s">
        <v>333</v>
      </c>
      <c r="C1" t="s">
        <v>331</v>
      </c>
      <c r="D1" s="1" t="str">
        <f>SUBSTITUTE(ADDRESS(1,D54,4),1,"")</f>
        <v>B</v>
      </c>
      <c r="E1" s="1" t="str">
        <f t="shared" ref="E1:R1" si="0">SUBSTITUTE(ADDRESS(1,E54,4),1,"")</f>
        <v>C</v>
      </c>
      <c r="F1" s="1" t="str">
        <f t="shared" si="0"/>
        <v>D</v>
      </c>
      <c r="G1" s="1" t="str">
        <f t="shared" si="0"/>
        <v>E</v>
      </c>
      <c r="H1" s="1" t="str">
        <f t="shared" si="0"/>
        <v>F</v>
      </c>
      <c r="I1" s="1" t="str">
        <f t="shared" si="0"/>
        <v>G</v>
      </c>
      <c r="J1" s="1" t="str">
        <f t="shared" si="0"/>
        <v>H</v>
      </c>
      <c r="K1" s="1" t="str">
        <f t="shared" si="0"/>
        <v>I</v>
      </c>
      <c r="L1" s="1" t="str">
        <f t="shared" si="0"/>
        <v>J</v>
      </c>
      <c r="M1" s="1" t="str">
        <f t="shared" si="0"/>
        <v>K</v>
      </c>
      <c r="N1" s="1" t="str">
        <f t="shared" si="0"/>
        <v>L</v>
      </c>
      <c r="O1" s="1" t="str">
        <f t="shared" si="0"/>
        <v>M</v>
      </c>
      <c r="P1" s="1" t="str">
        <f t="shared" si="0"/>
        <v>N</v>
      </c>
      <c r="Q1" s="1" t="str">
        <f t="shared" si="0"/>
        <v>O</v>
      </c>
      <c r="R1" s="1" t="str">
        <f t="shared" si="0"/>
        <v>P</v>
      </c>
      <c r="S1" s="1" t="str">
        <f>SUBSTITUTE(ADDRESS(1,S54,4),1,"")</f>
        <v>Q</v>
      </c>
      <c r="T1" s="1" t="str">
        <f>SUBSTITUTE(ADDRESS(1,T54,4),1,"")</f>
        <v>R</v>
      </c>
      <c r="U1" t="s">
        <v>332</v>
      </c>
      <c r="V1" t="s">
        <v>335</v>
      </c>
      <c r="W1" s="3" t="s">
        <v>388</v>
      </c>
      <c r="X1" s="4" t="str">
        <f>A1</f>
        <v>var statesData = {"type":"FeatureCollection","features":[</v>
      </c>
    </row>
    <row r="2" spans="1:24" x14ac:dyDescent="0.3">
      <c r="A2" t="s">
        <v>280</v>
      </c>
      <c r="B2" t="s">
        <v>250</v>
      </c>
      <c r="C2" t="str">
        <f>MID(A2,SEARCH("housevalue",A2)-1,SEARCH("geometry",A2)-SEARCH("housevalue",A2)-1)</f>
        <v>"housevalue":128300}</v>
      </c>
      <c r="D2" t="str">
        <f t="shared" ref="D2:S11" ca="1" si="1">CHAR(34)&amp;D$56&amp;CHAR(34)&amp;":"&amp;INDIRECT("HV_PCT_CHG!"&amp;D$1&amp;ROW($A2))&amp;","</f>
        <v>"hv01":0.042,</v>
      </c>
      <c r="E2" t="str">
        <f t="shared" ca="1" si="1"/>
        <v>"hv02":0.033,</v>
      </c>
      <c r="F2" t="str">
        <f t="shared" ca="1" si="1"/>
        <v>"hv03":0.042,</v>
      </c>
      <c r="G2" t="str">
        <f t="shared" ca="1" si="1"/>
        <v>"hv04":0.052,</v>
      </c>
      <c r="H2" t="str">
        <f t="shared" ca="1" si="1"/>
        <v>"hv05":-0.053,</v>
      </c>
      <c r="I2" t="str">
        <f t="shared" ca="1" si="1"/>
        <v>"hv06":0.137,</v>
      </c>
      <c r="J2" t="str">
        <f t="shared" ca="1" si="1"/>
        <v>"hv07":0.002,</v>
      </c>
      <c r="K2" t="str">
        <f t="shared" ca="1" si="1"/>
        <v>"hv08":-0.03,</v>
      </c>
      <c r="L2" t="str">
        <f t="shared" ca="1" si="1"/>
        <v>"hv09":-0.047,</v>
      </c>
      <c r="M2" t="str">
        <f t="shared" ca="1" si="1"/>
        <v>"hv10":-0.042,</v>
      </c>
      <c r="N2" t="str">
        <f t="shared" ca="1" si="1"/>
        <v>"hv11":-0.041,</v>
      </c>
      <c r="O2" t="str">
        <f t="shared" ca="1" si="1"/>
        <v>"hv12":0.063,</v>
      </c>
      <c r="P2" t="str">
        <f t="shared" ca="1" si="1"/>
        <v>"hv13":0.081,</v>
      </c>
      <c r="Q2" t="str">
        <f t="shared" ca="1" si="1"/>
        <v>"hv14":0.03,</v>
      </c>
      <c r="R2" t="str">
        <f t="shared" ca="1" si="1"/>
        <v>"hv15":0.019,</v>
      </c>
      <c r="S2" t="str">
        <f t="shared" ca="1" si="1"/>
        <v>"hv16":0.031,</v>
      </c>
      <c r="T2" t="str">
        <f t="shared" ref="T2:T33" ca="1" si="2">CHAR(34)&amp;T$56&amp;CHAR(34)&amp;":"&amp;INDIRECT("HV_PCT_CHG!"&amp;T$1&amp;ROW($A2))&amp;"}"</f>
        <v>"hv17":0.025}</v>
      </c>
      <c r="U2" t="str">
        <f ca="1">CONCATENATE(D2,E2,F2,G2,H2,I2,J2,K2,L2,M2,N2,O2,P2,Q2,R2,S2,T2)</f>
        <v>"hv01":0.042,"hv02":0.033,"hv03":0.042,"hv04":0.052,"hv05":-0.053,"hv06":0.137,"hv07":0.002,"hv08":-0.03,"hv09":-0.047,"hv10":-0.042,"hv11":-0.041,"hv12":0.063,"hv13":0.081,"hv14":0.03,"hv15":0.019,"hv16":0.031,"hv17":0.025}</v>
      </c>
      <c r="V2" t="s">
        <v>389</v>
      </c>
      <c r="X2" s="4" t="str">
        <f>V2</f>
        <v xml:space="preserve">    {"type":"Feature","id":"01","properties":{"name":"Alabama","hv01":0.042,"hv02":0.033,"hv03":0.042,"hv04":0.052,"hv05":-0.053,"hv06":0.137,"hv07":0.002,"hv08":-0.03,"hv09":-0.047,"hv10":-0.042,"hv11":-0.041,"hv12":0.063,"hv13":0.081,"hv14":0.03,"hv15":0.019,"hv16":0.031,"hv17":0.025},"geometry":{"type":"Polygon","coordinates":[[[-87.359296,35.00118],[-85.606675,34.984749],[-85.431413,34.124869],[-85.184951,32.859696],[-85.069935,32.580372],[-84.960397,32.421541],[-85.004212,32.322956],[-84.889196,32.262709],[-85.058981,32.13674],[-85.053504,32.01077],[-85.141136,31.840985],[-85.042551,31.539753],[-85.113751,31.27686],[-85.004212,31.003013],[-85.497137,30.997536],[-87.600282,30.997536],[-87.633143,30.86609],[-87.408589,30.674397],[-87.446927,30.510088],[-87.37025,30.427934],[-87.518128,30.280057],[-87.655051,30.247195],[-87.90699,30.411504],[-87.934375,30.657966],[-88.011052,30.685351],[-88.10416,30.499135],[-88.137022,30.318396],[-88.394438,30.367688],[-88.471115,31.895754],[-88.241084,33.796253],[-88.098683,34.891641],[-88.202745,34.995703],[-87.359296,35.00118]]]}},</v>
      </c>
    </row>
    <row r="3" spans="1:24" x14ac:dyDescent="0.3">
      <c r="A3" t="s">
        <v>281</v>
      </c>
      <c r="B3" t="s">
        <v>274</v>
      </c>
      <c r="C3" t="str">
        <f t="shared" ref="C3:C52" si="3">MID(A3,SEARCH("housevalue",A3)-1,SEARCH("geometry",A3)-SEARCH("housevalue",A3)-1)</f>
        <v>"housevalue":310200}</v>
      </c>
      <c r="D3" t="str">
        <f t="shared" ca="1" si="1"/>
        <v>"hv01":0.183,</v>
      </c>
      <c r="E3" t="str">
        <f t="shared" ca="1" si="1"/>
        <v>"hv02":0.041,</v>
      </c>
      <c r="F3" t="str">
        <f t="shared" ca="1" si="1"/>
        <v>"hv03":0.073,</v>
      </c>
      <c r="G3" t="str">
        <f t="shared" ca="1" si="1"/>
        <v>"hv04":0.079,</v>
      </c>
      <c r="H3" t="str">
        <f t="shared" ca="1" si="1"/>
        <v>"hv05":0.111,</v>
      </c>
      <c r="I3" t="str">
        <f t="shared" ca="1" si="1"/>
        <v>"hv06":0.078,</v>
      </c>
      <c r="J3" t="str">
        <f t="shared" ca="1" si="1"/>
        <v>"hv07":0.029,</v>
      </c>
      <c r="K3" t="str">
        <f t="shared" ca="1" si="1"/>
        <v>"hv08":0.003,</v>
      </c>
      <c r="L3" t="str">
        <f t="shared" ca="1" si="1"/>
        <v>"hv09":0.008,</v>
      </c>
      <c r="M3" t="str">
        <f t="shared" ca="1" si="1"/>
        <v>"hv10":0.009,</v>
      </c>
      <c r="N3" t="str">
        <f t="shared" ca="1" si="1"/>
        <v>"hv11":-0.004,</v>
      </c>
      <c r="O3" t="str">
        <f t="shared" ca="1" si="1"/>
        <v>"hv12":0.004,</v>
      </c>
      <c r="P3" t="str">
        <f t="shared" ca="1" si="1"/>
        <v>"hv13":0.022,</v>
      </c>
      <c r="Q3" t="str">
        <f t="shared" ca="1" si="1"/>
        <v>"hv14":0.035,</v>
      </c>
      <c r="R3" t="str">
        <f t="shared" ca="1" si="1"/>
        <v>"hv15":0.018,</v>
      </c>
      <c r="S3" t="str">
        <f t="shared" ca="1" si="1"/>
        <v>"hv16":0.013,</v>
      </c>
      <c r="T3" t="str">
        <f t="shared" ca="1" si="2"/>
        <v>"hv17":0.015}</v>
      </c>
      <c r="U3" t="str">
        <f ca="1">CONCATENATE(D3,E3,F3,G3,H3,I3,J3,K3,L3,M3,N3,O3,P3,Q3,R3,S3,T3)</f>
        <v>"hv01":0.183,"hv02":0.041,"hv03":0.073,"hv04":0.079,"hv05":0.111,"hv06":0.078,"hv07":0.029,"hv08":0.003,"hv09":0.008,"hv10":0.009,"hv11":-0.004,"hv12":0.004,"hv13":0.022,"hv14":0.035,"hv15":0.018,"hv16":0.013,"hv17":0.015}</v>
      </c>
      <c r="V3" t="s">
        <v>390</v>
      </c>
      <c r="X3" s="4" t="str">
        <f t="shared" ref="X3:X52" si="4">V3</f>
        <v xml:space="preserve">    {"type":"Feature","id":"02","properties":{"name":"Alaska","hv01":0.183,"hv02":0.041,"hv03":0.073,"hv04":0.079,"hv05":0.111,"hv06":0.078,"hv07":0.029,"hv08":0.003,"hv09":0.008,"hv10":0.009,"hv11":-0.004,"hv12":0.004,"hv13":0.022,"hv14":0.035,"hv15":0.018,"hv16":0.013,"hv17":0.015},"geometry":{"type":"MultiPolygon","coordinates":[[[[-131.602021,55.117982],[-131.569159,55.28229],[-131.355558,55.183705],[-131.38842,55.01392],[-131.645836,55.035827],[-131.602021,55.117982]]],[[[-131.832052,55.42469],[-131.645836,55.304197],[-131.749898,55.128935],[-131.832052,55.189182],[-131.832052,55.42469]]],[[[-132.976733,56.437924],[-132.735747,56.459832],[-132.631685,56.421493],[-132.664547,56.273616],[-132.878148,56.240754],[-133.069841,56.333862],[-132.976733,56.437924]]],[[[-133.595627,56.350293],[-133.162949,56.317431],[-133.05341,56.125739],[-132.620732,55.912138],[-132.472854,55.780691],[-132.4619,55.671152],[-132.357838,55.649245],[-132.341408,55.506844],[-132.166146,55.364444],[-132.144238,55.238474],[-132.029222,55.276813],[-131.97993,55.178228],[-131.958022,54.789365],[-132.029222,54.701734],[-132.308546,54.718165],[-132.385223,54.915335],[-132.483808,54.898904],[-132.686455,55.046781],[-132.746701,54.997489],[-132.916486,55.046781],[-132.889102,54.898904],[-132.73027,54.937242],[-132.626209,54.882473],[-132.675501,54.679826],[-132.867194,54.701734],[-133.157472,54.95915],[-133.239626,55.090597],[-133.223195,55.22752],[-133.453227,55.216566],[-133.453227,55.320628],[-133.277964,55.331582],[-133.102702,55.42469],[-133.17938,55.588998],[-133.387503,55.62186],[-133.420365,55.884753],[-133.497042,56.0162],[-133.639442,55.923092],[-133.694212,56.070969],[-133.546335,56.142169],[-133.666827,56.311955],[-133.595627,56.350293]]],[[[-133.738027,55.556137],[-133.546335,55.490413],[-133.414888,55.572568],[-133.283441,55.534229],[-133.420365,55.386352],[-133.633966,55.430167],[-133.738027,55.556137]]],[[[-133.907813,56.930849],[-134.050213,57.029434],[-133.885905,57.095157],[-133.343688,57.002049],[-133.102702,57.007526],[-132.932917,56.82131],[-132.620732,56.667956],[-132.653593,56.55294],[-132.817901,56.492694],[-133.042456,56.520078],[-133.201287,56.448878],[-133.420365,56.492694],[-133.66135,56.448878],[-133.710643,56.684386],[-133.688735,56.837741],[-133.869474,56.843218],[-133.907813,56.930849]]],[[[-134.115936,56.48174],[-134.25286,56.558417],[-134.400737,56.722725],[-134.417168,56.848695],[-134.296675,56.908941],[-134.170706,56.848695],[-134.143321,56.952757],[-133.748981,56.772017],[-133.710643,56.596755],[-133.847566,56.574848],[-133.935197,56.377678],[-133.836612,56.322908],[-133.957105,56.092877],[-134.110459,56.142169],[-134.132367,55.999769],[-134.230952,56.070969],[-134.291198,56.350293],[-134.115936,56.48174]]],[[[-134.636246,56.28457],[-134.669107,56.169554],[-134.806031,56.235277],[-135.178463,56.67891],[-135.413971,56.810356],[-135.331817,56.914418],[-135.424925,57.166357],[-135.687818,57.369004],[-135.419448,57.566174],[-135.298955,57.48402],[-135.063447,57.418296],[-134.849846,57.407343],[-134.844369,57.248511],[-134.636246,56.728202],[-134.636246,56.28457]]],[[[-134.712923,58.223407],[-134.373353,58.14673],[-134.176183,58.157683],[-134.187137,58.081006],[-133.902336,57.807159],[-134.099505,57.850975],[-134.148798,57.757867],[-133.935197,57.615466],[-133.869474,57.363527],[-134.083075,57.297804],[-134.154275,57.210173],[-134.499322,57.029434],[-134.603384,57.034911],[-134.6472,57.226604],[-134.575999,57.341619],[-134.608861,57.511404],[-134.729354,57.719528],[-134.707446,57.829067],[-134.784123,58.097437],[-134.91557,58.212453],[-134.953908,58.409623],[-134.712923,58.223407]]],[[[-135.857603,57.330665],[-135.715203,57.330665],[-135.567326,57.149926],[-135.633049,57.023957],[-135.857603,56.996572],[-135.824742,57.193742],[-135.857603,57.330665]]],[[[-136.279328,58.206976],[-135.978096,58.201499],[-135.780926,58.28913],[-135.496125,58.168637],[-135.64948,58.037191],[-135.59471,57.987898],[-135.45231,58.135776],[-135.107263,58.086483],[-134.91557,57.976944],[-135.025108,57.779775],[-134.937477,57.763344],[-134.822462,57.500451],[-135.085355,57.462112],[-135.572802,57.675713],[-135.556372,57.456635],[-135.709726,57.369004],[-135.890465,57.407343],[-136.000004,57.544266],[-136.208128,57.637374],[-136.366959,57.829067],[-136.569606,57.916698],[-136.558652,58.075529],[-136.421728,58.130299],[-136.377913,58.267222],[-136.279328,58.206976]]],[[[-147.079854,60.200582],[-147.501579,59.948643],[-147.53444,59.850058],[-147.874011,59.784335],[-147.80281,59.937689],[-147.435855,60.09652],[-147.205824,60.271782],[-147.079854,60.200582]]],[[[-147.561825,60.578491],[-147.616594,60.370367],[-147.758995,60.156767],[-147.956165,60.227967],[-147.791856,60.474429],[-147.561825,60.578491]]],[[[-147.786379,70.245291],[-147.682318,70.201475],[-147.162008,70.15766],[-146.888161,70.185044],[-146.510252,70.185044],[-146.099482,70.146706],[-145.858496,70.168614],[-145.622988,70.08646],[-145.195787,69.993352],[-144.620708,69.971444],[-144.461877,70.026213],[-144.078491,70.059075],[-143.914183,70.130275],[-143.497935,70.141229],[-143.503412,70.091936],[-143.25695,70.119321],[-142.747594,70.042644],[-142.402547,69.916674],[-142.079408,69.856428],[-142.008207,69.801659],[-141.712453,69.790705],[-141.433129,69.697597],[-141.378359,69.63735],[-141.208574,69.686643],[-141.00045,69.648304],[-141.00045,60.304644],[-140.53491,60.22249],[-140.474664,60.310121],[-139.987216,60.184151],[-139.696939,60.342983],[-139.088998,60.359413],[-139.198537,60.091043],[-139.045183,59.997935],[-138.700135,59.910304],[-138.623458,59.767904],[-137.604747,59.242118],[-137.445916,58.908024],[-137.265177,59.001132],[-136.827022,59.159963],[-136.580559,59.16544],[-136.465544,59.285933],[-136.476498,59.466672],[-136.301236,59.466672],[-136.25742,59.625503],[-135.945234,59.663842],[-135.479694,59.800766],[-135.025108,59.565257],[-135.068924,59.422857],[-134.959385,59.280456],[-134.701969,59.247595],[-134.378829,59.033994],[-134.400737,58.973748],[-134.25286,58.858732],[-133.842089,58.727285],[-133.173903,58.152206],[-133.075318,57.998852],[-132.867194,57.845498],[-132.560485,57.505928],[-132.253777,57.21565],[-132.368792,57.095157],[-132.05113,57.051341],[-132.127807,56.876079],[-131.870391,56.804879],[-131.837529,56.602232],[-131.580113,56.613186],[-131.087188,56.405062],[-130.78048,56.366724],[-130.621648,56.268139],[-130.468294,56.240754],[-130.424478,56.142169],[-130.101339,56.114785],[-130.002754,55.994292],[-130.150631,55.769737],[-130.128724,55.583521],[-129.986323,55.276813],[-130.095862,55.200136],[-130.336847,54.920812],[-130.687372,54.718165],[-130.785957,54.822227],[-130.917403,54.789365],[-131.010511,54.997489],[-130.983126,55.08512],[-131.092665,55.189182],[-130.862634,55.298721],[-130.928357,55.337059],[-131.158389,55.200136],[-131.284358,55.287767],[-131.426759,55.238474],[-131.843006,55.457552],[-131.700606,55.698537],[-131.963499,55.616383],[-131.974453,55.49589],[-132.182576,55.588998],[-132.226392,55.704014],[-132.083991,55.829984],[-132.127807,55.955953],[-132.324977,55.851892],[-132.522147,56.076446],[-132.642639,56.032631],[-132.719317,56.218847],[-132.527624,56.339339],[-132.341408,56.339339],[-132.396177,56.487217],[-132.297592,56.67891],[-132.450946,56.673433],[-132.768609,56.837741],[-132.993164,57.034911],[-133.51895,57.177311],[-133.507996,57.577128],[-133.677781,57.62642],[-133.639442,57.790728],[-133.814705,57.834544],[-134.072121,58.053622],[-134.143321,58.168637],[-134.586953,58.206976],[-135.074401,58.502731],[-135.282525,59.192825],[-135.38111,59.033994],[-135.337294,58.891593],[-135.140124,58.617746],[-135.189417,58.573931],[-135.05797,58.349376],[-135.085355,58.201499],[-135.277048,58.234361],[-135.430402,58.398669],[-135.633049,58.426053],[-135.91785,58.382238],[-135.912373,58.617746],[-136.087635,58.814916],[-136.246466,58.75467],[-136.876314,58.962794],[-136.931084,58.902547],[-136.586036,58.836824],[-136.317666,58.672516],[-136.213604,58.667039],[-136.180743,58.535592],[-136.043819,58.382238],[-136.388867,58.294607],[-136.591513,58.349376],[-136.59699,58.212453],[-136.859883,58.316515],[-136.947514,58.393192],[-137.111823,58.393192],[-137.566409,58.590362],[-137.900502,58.765624],[-137.933364,58.869686],[-138.11958,59.02304],[-138.634412,59.132579],[-138.919213,59.247595],[-139.417615,59.379041],[-139.746231,59.505011],[-139.718846,59.641934],[-139.625738,59.598119],[-139.5162,59.68575],[-139.625738,59.88292],[-139.488815,59.992458],[-139.554538,60.041751],[-139.801,59.833627],[-140.315833,59.696704],[-140.92925,59.745996],[-141.444083,59.871966],[-141.46599,59.970551],[-141.706976,59.948643],[-141.964392,60.019843],[-142.539471,60.085566],[-142.873564,60.091043],[-143.623905,60.036274],[-143.892275,59.997935],[-144.231845,60.140336],[-144.65357,60.206059],[-144.785016,60.29369],[-144.834309,60.441568],[-145.124586,60.430614],[-145.223171,60.299167],[-145.738004,60.474429],[-145.820158,60.551106],[-146.351421,60.408706],[-146.608837,60.238921],[-146.718376,60.397752],[-146.608837,60.485383],[-146.455483,60.463475],[-145.951604,60.578491],[-146.017328,60.666122],[-146.252836,60.622307],[-146.345944,60.737322],[-146.565022,60.753753],[-146.784099,61.044031],[-146.866253,60.972831],[-147.172962,60.934492],[-147.271547,60.972831],[-147.375609,60.879723],[-147.758995,60.912584],[-147.775426,60.808523],[-148.032842,60.781138],[-148.153334,60.819476],[-148.065703,61.005692],[-148.175242,61.000215],[-148.350504,60.803046],[-148.109519,60.737322],[-148.087611,60.594922],[-147.939734,60.441568],[-148.027365,60.277259],[-148.219058,60.332029],[-148.273827,60.249875],[-148.087611,60.217013],[-147.983549,59.997935],[-148.251919,59.95412],[-148.399797,59.997935],[-148.635305,59.937689],[-148.755798,59.986981],[-149.067984,59.981505],[-149.05703,60.063659],[-149.204907,60.008889],[-149.287061,59.904827],[-149.418508,59.997935],[-149.582816,59.866489],[-149.511616,59.806242],[-149.741647,59.729565],[-149.949771,59.718611],[-150.031925,59.61455],[-150.25648,59.521442],[-150.409834,59.554303],[-150.579619,59.444764],[-150.716543,59.450241],[-151.001343,59.225687],[-151.308052,59.209256],[-151.406637,59.280456],[-151.592853,59.159963],[-151.976239,59.253071],[-151.888608,59.422857],[-151.636669,59.483103],[-151.47236,59.472149],[-151.423068,59.537872],[-151.127313,59.669319],[-151.116359,59.778858],[-151.505222,59.63098],[-151.828361,59.718611],[-151.8667,59.778858],[-151.702392,60.030797],[-151.423068,60.211536],[-151.379252,60.359413],[-151.297098,60.386798],[-151.264237,60.545629],[-151.406637,60.720892],[-151.06159,60.786615],[-150.404357,61.038554],[-150.245526,60.939969],[-150.042879,60.912584],[-149.741647,61.016646],[-150.075741,61.15357],[-150.207187,61.257632],[-150.47008,61.246678],[-150.656296,61.29597],[-150.711066,61.252155],[-151.023251,61.180954],[-151.165652,61.044031],[-151.477837,61.011169],[-151.800977,60.852338],[-151.833838,60.748276],[-152.080301,60.693507],[-152.13507,60.578491],[-152.310332,60.507291],[-152.392486,60.304644],[-152.732057,60.173197],[-152.567748,60.069136],[-152.704672,59.915781],[-153.022334,59.888397],[-153.049719,59.691227],[-153.345474,59.620026],[-153.438582,59.702181],[-153.586459,59.548826],[-153.761721,59.543349],[-153.72886,59.433811],[-154.117723,59.368087],[-154.1944,59.066856],[-153.750768,59.050425],[-153.400243,58.968271],[-153.301658,58.869686],[-153.444059,58.710854],[-153.679567,58.612269],[-153.898645,58.606793],[-153.920553,58.519161],[-154.062953,58.4863],[-153.99723,58.376761],[-154.145107,58.212453],[-154.46277,58.059098],[-154.643509,58.059098],[-154.818771,58.004329],[-154.988556,58.015283],[-155.120003,57.955037],[-155.081664,57.872883],[-155.328126,57.829067],[-155.377419,57.708574],[-155.547204,57.785251],[-155.73342,57.549743],[-156.045606,57.566174],[-156.023698,57.440204],[-156.209914,57.473066],[-156.34136,57.418296],[-156.34136,57.248511],[-156.549484,56.985618],[-156.883577,56.952757],[-157.157424,56.832264],[-157.20124,56.766541],[-157.376502,56.859649],[-157.672257,56.607709],[-157.754411,56.67891],[-157.918719,56.657002],[-157.957058,56.514601],[-158.126843,56.459832],[-158.32949,56.48174],[-158.488321,56.339339],[-158.208997,56.295524],[-158.510229,55.977861],[-159.375585,55.873799],[-159.616571,55.594475],[-159.676817,55.654722],[-159.643955,55.829984],[-159.813741,55.857368],[-160.027341,55.791645],[-160.060203,55.720445],[-160.394296,55.605429],[-160.536697,55.473983],[-160.580512,55.567091],[-160.668143,55.457552],[-160.865313,55.528752],[-161.232268,55.358967],[-161.506115,55.364444],[-161.467776,55.49589],[-161.588269,55.62186],[-161.697808,55.517798],[-161.686854,55.408259],[-162.053809,55.074166],[-162.179779,55.15632],[-162.218117,55.03035],[-162.470057,55.052258],[-162.508395,55.249428],[-162.661749,55.293244],[-162.716519,55.222043],[-162.579595,55.134412],[-162.645319,54.997489],[-162.847965,54.926289],[-163.00132,55.079643],[-163.187536,55.090597],[-163.220397,55.03035],[-163.034181,54.942719],[-163.373752,54.800319],[-163.14372,54.76198],[-163.138243,54.696257],[-163.329936,54.74555],[-163.587352,54.614103],[-164.085754,54.61958],[-164.332216,54.531949],[-164.354124,54.466226],[-164.638925,54.389548],[-164.847049,54.416933],[-164.918249,54.603149],[-164.710125,54.663395],[-164.551294,54.88795],[-164.34317,54.893427],[-163.894061,55.041304],[-163.532583,55.046781],[-163.39566,54.904381],[-163.291598,55.008443],[-163.313505,55.128935],[-163.105382,55.183705],[-162.880827,55.183705],[-162.579595,55.446598],[-162.245502,55.682106],[-161.807347,55.89023],[-161.292514,55.983338],[-161.078914,55.939523],[-160.87079,55.999769],[-160.816021,55.912138],[-160.931036,55.813553],[-160.805067,55.736876],[-160.766728,55.857368],[-160.509312,55.868322],[-160.438112,55.791645],[-160.27928,55.76426],[-160.273803,55.857368],[-160.536697,55.939523],[-160.558604,55.994292],[-160.383342,56.251708],[-160.147834,56.399586],[-159.830171,56.541986],[-159.326293,56.667956],[-158.959338,56.848695],[-158.784076,56.782971],[-158.641675,56.810356],[-158.701922,56.925372],[-158.658106,57.034911],[-158.378782,57.264942],[-157.995396,57.41282],[-157.688688,57.609989],[-157.705118,57.719528],[-157.458656,58.497254],[-157.07527,58.705377],[-157.119086,58.869686],[-158.039212,58.634177],[-158.32949,58.661562],[-158.40069,58.760147],[-158.564998,58.803962],[-158.619768,58.913501],[-158.767645,58.864209],[-158.860753,58.694424],[-158.701922,58.480823],[-158.893615,58.387715],[-159.0634,58.420577],[-159.392016,58.760147],[-159.616571,58.929932],[-159.731586,58.929932],[-159.808264,58.803962],[-159.906848,58.782055],[-160.054726,58.886116],[-160.235465,58.902547],[-160.317619,59.072332],[-160.854359,58.88064],[-161.33633,58.743716],[-161.374669,58.667039],[-161.752577,58.552023],[-161.938793,58.656085],[-161.769008,58.776578],[-161.829255,59.061379],[-161.955224,59.36261],[-161.703285,59.48858],[-161.911409,59.740519],[-162.092148,59.88292],[-162.234548,60.091043],[-162.448149,60.178674],[-162.502918,59.997935],[-162.760334,59.959597],[-163.171105,59.844581],[-163.66403,59.795289],[-163.9324,59.806242],[-164.162431,59.866489],[-164.189816,60.02532],[-164.386986,60.074613],[-164.699171,60.29369],[-164.962064,60.337506],[-165.268773,60.578491],[-165.060649,60.68803],[-165.016834,60.890677],[-165.175665,60.846861],[-165.197573,60.972831],[-165.120896,61.076893],[-165.323543,61.170001],[-165.34545,61.071416],[-165.591913,61.109754],[-165.624774,61.279539],[-165.816467,61.301447],[-165.920529,61.416463],[-165.915052,61.558863],[-166.106745,61.49314],[-166.139607,61.630064],[-165.904098,61.662925],[-166.095791,61.81628],[-165.756221,61.827233],[-165.756221,62.013449],[-165.674067,62.139419],[-165.044219,62.539236],[-164.912772,62.659728],[-164.819664,62.637821],[-164.874433,62.807606],[-164.633448,63.097884],[-164.425324,63.212899],[-164.036462,63.262192],[-163.73523,63.212899],[-163.313505,63.037637],[-163.039658,63.059545],[-162.661749,63.22933],[-162.272887,63.486746],[-162.075717,63.514131],[-162.026424,63.448408],[-161.555408,63.448408],[-161.13916,63.503177],[-160.766728,63.771547],[-160.766728,63.837271],[-160.952944,64.08921],[-160.974852,64.237087],[-161.26513,64.395918],[-161.374669,64.532842],[-161.078914,64.494503],[-160.79959,64.609519],[-160.783159,64.719058],[-161.144637,64.921705],[-161.413007,64.762873],[-161.664946,64.790258],[-161.900455,64.702627],[-162.168825,64.680719],[-162.234548,64.620473],[-162.541257,64.532842],[-162.634365,64.384965],[-162.787719,64.324718],[-162.858919,64.49998],[-163.045135,64.538319],[-163.176582,64.401395],[-163.253259,64.467119],[-163.598306,64.565704],[-164.304832,64.560227],[-164.80871,64.450688],[-165.000403,64.434257],[-165.411174,64.49998],[-166.188899,64.576658],[-166.391546,64.636904],[-166.484654,64.735489],[-166.413454,64.872412],[-166.692778,64.987428],[-166.638008,65.113398],[-166.462746,65.179121],[-166.517516,65.337952],[-166.796839,65.337952],[-167.026871,65.381768],[-167.47598,65.414629],[-167.711489,65.496784],[-168.072967,65.578938],[-168.105828,65.682999],[-167.541703,65.819923],[-166.829701,66.049954],[-166.3313,66.186878],[-166.046499,66.110201],[-165.756221,66.09377],[-165.690498,66.203309],[-165.86576,66.21974],[-165.88219,66.312848],[-165.186619,66.466202],[-164.403417,66.581218],[-163.981692,66.592172],[-163.751661,66.553833],[-163.872153,66.389525],[-163.828338,66.274509],[-163.915969,66.192355],[-163.768091,66.060908],[-163.494244,66.082816],[-163.149197,66.060908],[-162.749381,66.088293],[-162.634365,66.039001],[-162.371472,66.028047],[-162.14144,66.077339],[-161.840208,66.02257],[-161.549931,66.241647],[-161.341807,66.252601],[-161.199406,66.208786],[-161.128206,66.334755],[-161.528023,66.395002],[-161.911409,66.345709],[-161.87307,66.510017],[-162.174302,66.68528],[-162.502918,66.740049],[-162.601503,66.89888],[-162.344087,66.937219],[-162.015471,66.778388],[-162.075717,66.652418],[-161.916886,66.553833],[-161.571838,66.438817],[-161.489684,66.55931],[-161.884024,66.718141],[-161.714239,67.002942],[-161.851162,67.052235],[-162.240025,66.991988],[-162.639842,67.008419],[-162.700088,67.057712],[-162.902735,67.008419],[-163.740707,67.128912],[-163.757138,67.254881],[-164.009077,67.534205],[-164.211724,67.638267],[-164.534863,67.725898],[-165.192096,67.966884],[-165.493328,68.059992],[-165.794559,68.081899],[-166.243668,68.246208],[-166.681824,68.339316],[-166.703731,68.372177],[-166.375115,68.42147],[-166.227238,68.574824],[-166.216284,68.881533],[-165.329019,68.859625],[-164.255539,68.930825],[-163.976215,68.985595],[-163.532583,69.138949],[-163.110859,69.374457],[-163.023228,69.609966],[-162.842489,69.812613],[-162.470057,69.982398],[-162.311225,70.108367],[-161.851162,70.311014],[-161.779962,70.256245],[-161.396576,70.239814],[-160.837928,70.343876],[-160.487404,70.453415],[-159.649432,70.792985],[-159.33177,70.809416],[-159.298908,70.760123],[-158.975769,70.798462],[-158.658106,70.787508],[-158.033735,70.831323],[-157.420318,70.979201],[-156.812377,71.285909],[-156.565915,71.351633],[-156.522099,71.296863],[-155.585543,71.170894],[-155.508865,71.083263],[-155.832005,70.968247],[-155.979882,70.96277],[-155.974405,70.809416],[-155.503388,70.858708],[-155.476004,70.940862],[-155.262403,71.017539],[-155.191203,70.973724],[-155.032372,71.148986],[-154.566832,70.990155],[-154.643509,70.869662],[-154.353231,70.8368],[-154.183446,70.7656],[-153.931507,70.880616],[-153.487874,70.886093],[-153.235935,70.924431],[-152.589656,70.886093],[-152.26104,70.842277],[-152.419871,70.606769],[-151.817408,70.546523],[-151.773592,70.486276],[-151.187559,70.382214],[-151.182082,70.431507],[-150.760358,70.49723],[-150.355064,70.491753],[-150.349588,70.436984],[-150.114079,70.431507],[-149.867617,70.508184],[-149.462323,70.519138],[-149.177522,70.486276],[-148.78866,70.404122],[-148.607921,70.420553],[-148.350504,70.305537],[-148.202627,70.349353],[-147.961642,70.316491],[-147.786379,70.245291]]],[[[-152.94018,58.026237],[-152.945657,57.982421],[-153.290705,58.048145],[-153.044242,58.305561],[-152.819688,58.327469],[-152.666333,58.562977],[-152.496548,58.354853],[-152.354148,58.426053],[-152.080301,58.311038],[-152.080301,58.152206],[-152.480117,58.130299],[-152.655379,58.059098],[-152.94018,58.026237]]],[[[-153.958891,57.538789],[-153.67409,57.670236],[-153.931507,57.69762],[-153.936983,57.812636],[-153.723383,57.889313],[-153.570028,57.834544],[-153.548121,57.719528],[-153.46049,57.796205],[-153.455013,57.96599],[-153.268797,57.889313],[-153.235935,57.998852],[-153.071627,57.933129],[-152.874457,57.933129],[-152.721103,57.993375],[-152.469163,57.889313],[-152.469163,57.599035],[-152.151501,57.620943],[-152.359625,57.42925],[-152.74301,57.505928],[-152.60061,57.379958],[-152.710149,57.275896],[-152.907319,57.325188],[-152.912796,57.128019],[-153.214027,57.073249],[-153.312612,56.991095],[-153.498828,57.067772],[-153.695998,56.859649],[-153.849352,56.837741],[-154.013661,56.744633],[-154.073907,56.969187],[-154.303938,56.848695],[-154.314892,56.919895],[-154.523016,56.991095],[-154.539447,57.193742],[-154.742094,57.275896],[-154.627078,57.511404],[-154.227261,57.659282],[-153.980799,57.648328],[-153.958891,57.538789]]],[[[-154.53397,56.602232],[-154.742094,56.399586],[-154.807817,56.432447],[-154.53397,56.602232]]],[[[-155.634835,55.923092],[-155.476004,55.912138],[-155.530773,55.704014],[-155.793666,55.731399],[-155.837482,55.802599],[-155.634835,55.923092]]],[[[-159.890418,55.28229],[-159.950664,55.068689],[-160.257373,54.893427],[-160.109495,55.161797],[-160.005433,55.134412],[-159.890418,55.28229]]],[[[-160.520266,55.358967],[-160.33405,55.358967],[-160.339527,55.249428],[-160.525743,55.128935],[-160.690051,55.211089],[-160.794113,55.134412],[-160.854359,55.320628],[-160.79959,55.380875],[-160.520266,55.358967]]],[[[-162.256456,54.981058],[-162.234548,54.893427],[-162.349564,54.838658],[-162.437195,54.931766],[-162.256456,54.981058]]],[[[-162.415287,63.634624],[-162.563165,63.536039],[-162.612457,63.62367],[-162.415287,63.634624]]],[[[-162.80415,54.488133],[-162.590549,54.449795],[-162.612457,54.367641],[-162.782242,54.373118],[-162.80415,54.488133]]],[[[-165.548097,54.29644],[-165.476897,54.181425],[-165.630251,54.132132],[-165.685021,54.252625],[-165.548097,54.29644]]],[[[-165.73979,54.15404],[-166.046499,54.044501],[-166.112222,54.121178],[-165.980775,54.219763],[-165.73979,54.15404]]],[[[-166.364161,60.359413],[-166.13413,60.397752],[-166.084837,60.326552],[-165.88219,60.342983],[-165.685021,60.277259],[-165.646682,59.992458],[-165.750744,59.89935],[-166.00816,59.844581],[-166.062929,59.745996],[-166.440838,59.855535],[-166.6161,59.850058],[-166.994009,59.992458],[-167.125456,59.992458],[-167.344534,60.074613],[-167.421211,60.206059],[-167.311672,60.238921],[-166.93924,60.206059],[-166.763978,60.310121],[-166.577762,60.321075],[-166.495608,60.392275],[-166.364161,60.359413]]],[[[-166.375115,54.01164],[-166.210807,53.934962],[-166.5449,53.748746],[-166.539423,53.715885],[-166.117699,53.852808],[-166.112222,53.776131],[-166.282007,53.683023],[-166.555854,53.622777],[-166.583239,53.529669],[-166.878994,53.431084],[-167.13641,53.425607],[-167.306195,53.332499],[-167.623857,53.250345],[-167.793643,53.337976],[-167.459549,53.442038],[-167.355487,53.425607],[-167.103548,53.513238],[-167.163794,53.611823],[-167.021394,53.715885],[-166.807793,53.666592],[-166.785886,53.732316],[-167.015917,53.754223],[-167.141887,53.825424],[-167.032348,53.945916],[-166.643485,54.017116],[-166.561331,53.880193],[-166.375115,54.01164]]],[[[-168.790446,53.157237],[-168.40706,53.34893],[-168.385152,53.431084],[-168.237275,53.524192],[-168.007243,53.568007],[-167.886751,53.518715],[-167.842935,53.387268],[-168.270136,53.244868],[-168.500168,53.036744],[-168.686384,52.965544],[-168.790446,53.157237]]],[[[-169.74891,52.894344],[-169.705095,52.795759],[-169.962511,52.790282],[-169.989896,52.856005],[-169.74891,52.894344]]],[[[-170.148727,57.221127],[-170.28565,57.128019],[-170.313035,57.221127],[-170.148727,57.221127]]],[[[-170.669036,52.697174],[-170.603313,52.604066],[-170.789529,52.538343],[-170.816914,52.636928],[-170.669036,52.697174]]],[[[-171.742517,63.716778],[-170.94836,63.5689],[-170.488297,63.69487],[-170.280174,63.683916],[-170.093958,63.612716],[-170.044665,63.492223],[-169.644848,63.4265],[-169.518879,63.366254],[-168.99857,63.338869],[-168.686384,63.295053],[-168.856169,63.147176],[-169.108108,63.180038],[-169.376478,63.152653],[-169.513402,63.08693],[-169.639372,62.939052],[-169.831064,63.075976],[-170.055619,63.169084],[-170.263743,63.180038],[-170.362328,63.2841],[-170.866206,63.415546],[-171.101715,63.421023],[-171.463193,63.306007],[-171.73704,63.366254],[-171.852055,63.486746],[-171.742517,63.716778]]],[[[-172.432611,52.390465],[-172.41618,52.275449],[-172.607873,52.253542],[-172.569535,52.352127],[-172.432611,52.390465]]],[[[-173.626584,52.14948],[-173.495138,52.105664],[-173.122706,52.111141],[-173.106275,52.07828],[-173.549907,52.028987],[-173.626584,52.14948]]],[[[-174.322156,52.280926],[-174.327632,52.379511],[-174.185232,52.41785],[-173.982585,52.319265],[-174.059262,52.226157],[-174.179755,52.231634],[-174.141417,52.127572],[-174.333109,52.116618],[-174.738403,52.007079],[-174.968435,52.039941],[-174.902711,52.116618],[-174.656249,52.105664],[-174.322156,52.280926]]],[[[-176.469116,51.853725],[-176.288377,51.870156],[-176.288377,51.744186],[-176.518409,51.760617],[-176.80321,51.61274],[-176.912748,51.80991],[-176.792256,51.815386],[-176.775825,51.963264],[-176.627947,51.968741],[-176.627947,51.859202],[-176.469116,51.853725]]],[[[-177.153734,51.946833],[-177.044195,51.897541],[-177.120872,51.727755],[-177.274226,51.678463],[-177.279703,51.782525],[-177.153734,51.946833]]],[[[-178.123152,51.919448],[-177.953367,51.913971],[-177.800013,51.793479],[-177.964321,51.651078],[-178.123152,51.919448]]],[[[-187.107557,52.992929],[-187.293773,52.927205],[-187.304726,52.823143],[-188.90491,52.762897],[-188.642017,52.927205],[-188.642017,53.003883],[-187.107557,52.992929]]]]}},</v>
      </c>
    </row>
    <row r="4" spans="1:24" x14ac:dyDescent="0.3">
      <c r="A4" t="s">
        <v>282</v>
      </c>
      <c r="B4" t="s">
        <v>243</v>
      </c>
      <c r="C4" t="str">
        <f t="shared" si="3"/>
        <v>"housevalue":244600}</v>
      </c>
      <c r="D4" t="str">
        <f t="shared" ca="1" si="1"/>
        <v>"hv01":0.06,</v>
      </c>
      <c r="E4" t="str">
        <f t="shared" ca="1" si="1"/>
        <v>"hv02":0.061,</v>
      </c>
      <c r="F4" t="str">
        <f t="shared" ca="1" si="1"/>
        <v>"hv03":0.064,</v>
      </c>
      <c r="G4" t="str">
        <f t="shared" ca="1" si="1"/>
        <v>"hv04":0.196,</v>
      </c>
      <c r="H4" t="str">
        <f t="shared" ca="1" si="1"/>
        <v>"hv05":0.401,</v>
      </c>
      <c r="I4" t="str">
        <f t="shared" ca="1" si="1"/>
        <v>"hv06":0.004,</v>
      </c>
      <c r="J4" t="str">
        <f t="shared" ca="1" si="1"/>
        <v>"hv07":-0.107,</v>
      </c>
      <c r="K4" t="str">
        <f t="shared" ca="1" si="1"/>
        <v>"hv08":-0.19,</v>
      </c>
      <c r="L4" t="str">
        <f t="shared" ca="1" si="1"/>
        <v>"hv09":-0.16,</v>
      </c>
      <c r="M4" t="str">
        <f t="shared" ca="1" si="1"/>
        <v>"hv10":-0.102,</v>
      </c>
      <c r="N4" t="str">
        <f t="shared" ca="1" si="1"/>
        <v>"hv11":-0.059,</v>
      </c>
      <c r="O4" t="str">
        <f t="shared" ca="1" si="1"/>
        <v>"hv12":0.165,</v>
      </c>
      <c r="P4" t="str">
        <f t="shared" ca="1" si="1"/>
        <v>"hv13":0.135,</v>
      </c>
      <c r="Q4" t="str">
        <f t="shared" ca="1" si="1"/>
        <v>"hv14":0.044,</v>
      </c>
      <c r="R4" t="str">
        <f t="shared" ca="1" si="1"/>
        <v>"hv15":0.078,</v>
      </c>
      <c r="S4" t="str">
        <f t="shared" ca="1" si="1"/>
        <v>"hv16":0.087,</v>
      </c>
      <c r="T4" t="str">
        <f t="shared" ca="1" si="2"/>
        <v>"hv17":0.072}</v>
      </c>
      <c r="U4" t="str">
        <f t="shared" ref="U4:U52" ca="1" si="5">CONCATENATE(D4,E4,F4,G4,H4,I4,J4,K4,L4,M4,N4,O4,P4,Q4,R4,S4,T4)</f>
        <v>"hv01":0.06,"hv02":0.061,"hv03":0.064,"hv04":0.196,"hv05":0.401,"hv06":0.004,"hv07":-0.107,"hv08":-0.19,"hv09":-0.16,"hv10":-0.102,"hv11":-0.059,"hv12":0.165,"hv13":0.135,"hv14":0.044,"hv15":0.078,"hv16":0.087,"hv17":0.072}</v>
      </c>
      <c r="V4" t="s">
        <v>391</v>
      </c>
      <c r="X4" s="4" t="str">
        <f t="shared" si="4"/>
        <v xml:space="preserve">    {"type":"Feature","id":"04","properties":{"name":"Arizona","hv01":0.06,"hv02":0.061,"hv03":0.064,"hv04":0.196,"hv05":0.401,"hv06":0.004,"hv07":-0.107,"hv08":-0.19,"hv09":-0.16,"hv10":-0.102,"hv11":-0.059,"hv12":0.165,"hv13":0.135,"hv14":0.044,"hv15":0.078,"hv16":0.087,"hv17":0.072},"geometry":{"type":"Polygon","coordinates":[[[-109.042503,37.000263],[-109.04798,31.331629],[-111.074448,31.331629],[-112.246513,31.704061],[-114.815198,32.492741],[-114.72209,32.717295],[-114.524921,32.755634],[-114.470151,32.843265],[-114.524921,33.029481],[-114.661844,33.034958],[-114.727567,33.40739],[-114.524921,33.54979],[-114.497536,33.697668],[-114.535874,33.933176],[-114.415382,34.108438],[-114.256551,34.174162],[-114.136058,34.305608],[-114.333228,34.448009],[-114.470151,34.710902],[-114.634459,34.87521],[-114.634459,35.00118],[-114.574213,35.138103],[-114.596121,35.324319],[-114.678275,35.516012],[-114.738521,36.102045],[-114.371566,36.140383],[-114.251074,36.01989],[-114.152489,36.025367],[-114.048427,36.195153],[-114.048427,37.000263],[-110.499369,37.00574],[-109.042503,37.000263]]]}},</v>
      </c>
    </row>
    <row r="5" spans="1:24" x14ac:dyDescent="0.3">
      <c r="A5" t="s">
        <v>283</v>
      </c>
      <c r="B5" t="s">
        <v>259</v>
      </c>
      <c r="C5" t="str">
        <f t="shared" si="3"/>
        <v>"housevalue":122800}</v>
      </c>
      <c r="D5" t="str">
        <f t="shared" ca="1" si="1"/>
        <v>"hv01":0.033,</v>
      </c>
      <c r="E5" t="str">
        <f t="shared" ca="1" si="1"/>
        <v>"hv02":0.057,</v>
      </c>
      <c r="F5" t="str">
        <f t="shared" ca="1" si="1"/>
        <v>"hv03":0.034,</v>
      </c>
      <c r="G5" t="str">
        <f t="shared" ca="1" si="1"/>
        <v>"hv04":0.075,</v>
      </c>
      <c r="H5" t="str">
        <f t="shared" ca="1" si="1"/>
        <v>"hv05":0.097,</v>
      </c>
      <c r="I5" t="str">
        <f t="shared" ca="1" si="1"/>
        <v>"hv06":0.062,</v>
      </c>
      <c r="J5" t="str">
        <f t="shared" ca="1" si="1"/>
        <v>"hv07":0.004,</v>
      </c>
      <c r="K5" t="str">
        <f t="shared" ca="1" si="1"/>
        <v>"hv08":-0.027,</v>
      </c>
      <c r="L5" t="str">
        <f t="shared" ca="1" si="1"/>
        <v>"hv09":-0.019,</v>
      </c>
      <c r="M5" t="str">
        <f t="shared" ca="1" si="1"/>
        <v>"hv10":-0.021,</v>
      </c>
      <c r="N5" t="str">
        <f t="shared" ca="1" si="1"/>
        <v>"hv11":-0.021,</v>
      </c>
      <c r="O5" t="str">
        <f t="shared" ca="1" si="1"/>
        <v>"hv12":0.01,</v>
      </c>
      <c r="P5" t="str">
        <f t="shared" ca="1" si="1"/>
        <v>"hv13":0.04,</v>
      </c>
      <c r="Q5" t="str">
        <f t="shared" ca="1" si="1"/>
        <v>"hv14":0.028,</v>
      </c>
      <c r="R5" t="str">
        <f t="shared" ca="1" si="1"/>
        <v>"hv15":0.044,</v>
      </c>
      <c r="S5" t="str">
        <f t="shared" ca="1" si="1"/>
        <v>"hv16":0.065,</v>
      </c>
      <c r="T5" t="str">
        <f t="shared" ca="1" si="2"/>
        <v>"hv17":0.035}</v>
      </c>
      <c r="U5" t="str">
        <f t="shared" ca="1" si="5"/>
        <v>"hv01":0.033,"hv02":0.057,"hv03":0.034,"hv04":0.075,"hv05":0.097,"hv06":0.062,"hv07":0.004,"hv08":-0.027,"hv09":-0.019,"hv10":-0.021,"hv11":-0.021,"hv12":0.01,"hv13":0.04,"hv14":0.028,"hv15":0.044,"hv16":0.065,"hv17":0.035}</v>
      </c>
      <c r="V5" t="s">
        <v>392</v>
      </c>
      <c r="X5" s="4" t="str">
        <f t="shared" si="4"/>
        <v xml:space="preserve">    {"type":"Feature","id":"05","properties":{"name":"Arkansas","hv01":0.033,"hv02":0.057,"hv03":0.034,"hv04":0.075,"hv05":0.097,"hv06":0.062,"hv07":0.004,"hv08":-0.027,"hv09":-0.019,"hv10":-0.021,"hv11":-0.021,"hv12":0.01,"hv13":0.04,"hv14":0.028,"hv15":0.044,"hv16":0.065,"hv17":0.035},"geometry":{"type":"Polygon","coordinates":[[[-94.473842,36.501861],[-90.152536,36.496384],[-90.064905,36.304691],[-90.218259,36.184199],[-90.377091,35.997983],[-89.730812,35.997983],[-89.763673,35.811767],[-89.911551,35.756997],[-89.944412,35.603643],[-90.130628,35.439335],[-90.114197,35.198349],[-90.212782,35.023087],[-90.311367,34.995703],[-90.251121,34.908072],[-90.409952,34.831394],[-90.481152,34.661609],[-90.585214,34.617794],[-90.568783,34.420624],[-90.749522,34.365854],[-90.744046,34.300131],[-90.952169,34.135823],[-90.891923,34.026284],[-91.072662,33.867453],[-91.231493,33.560744],[-91.056231,33.429298],[-91.143862,33.347144],[-91.089093,33.13902],[-91.16577,33.002096],[-93.608485,33.018527],[-94.041164,33.018527],[-94.041164,33.54979],[-94.183564,33.593606],[-94.380734,33.544313],[-94.484796,33.637421],[-94.430026,35.395519],[-94.616242,36.501861],[-94.473842,36.501861]]]}},</v>
      </c>
    </row>
    <row r="6" spans="1:24" x14ac:dyDescent="0.3">
      <c r="A6" t="s">
        <v>284</v>
      </c>
      <c r="B6" t="s">
        <v>228</v>
      </c>
      <c r="C6" t="str">
        <f t="shared" si="3"/>
        <v>"housevalue":544900}</v>
      </c>
      <c r="D6" t="str">
        <f t="shared" ca="1" si="1"/>
        <v>"hv01":0.122,</v>
      </c>
      <c r="E6" t="str">
        <f t="shared" ca="1" si="1"/>
        <v>"hv02":0.163,</v>
      </c>
      <c r="F6" t="str">
        <f t="shared" ca="1" si="1"/>
        <v>"hv03":0.202,</v>
      </c>
      <c r="G6" t="str">
        <f t="shared" ca="1" si="1"/>
        <v>"hv04":0.267,</v>
      </c>
      <c r="H6" t="str">
        <f t="shared" ca="1" si="1"/>
        <v>"hv05":0.138,</v>
      </c>
      <c r="I6" t="str">
        <f t="shared" ca="1" si="1"/>
        <v>"hv06":-0.004,</v>
      </c>
      <c r="J6" t="str">
        <f t="shared" ca="1" si="1"/>
        <v>"hv07":-0.114,</v>
      </c>
      <c r="K6" t="str">
        <f t="shared" ca="1" si="1"/>
        <v>"hv08":-0.208,</v>
      </c>
      <c r="L6" t="str">
        <f t="shared" ca="1" si="1"/>
        <v>"hv09":-0.096,</v>
      </c>
      <c r="M6" t="str">
        <f t="shared" ca="1" si="1"/>
        <v>"hv10":-0.031,</v>
      </c>
      <c r="N6" t="str">
        <f t="shared" ca="1" si="1"/>
        <v>"hv11":-0.069,</v>
      </c>
      <c r="O6" t="str">
        <f t="shared" ca="1" si="1"/>
        <v>"hv12":0.084,</v>
      </c>
      <c r="P6" t="str">
        <f t="shared" ca="1" si="1"/>
        <v>"hv13":0.195,</v>
      </c>
      <c r="Q6" t="str">
        <f t="shared" ca="1" si="1"/>
        <v>"hv14":0.072,</v>
      </c>
      <c r="R6" t="str">
        <f t="shared" ca="1" si="1"/>
        <v>"hv15":0.074,</v>
      </c>
      <c r="S6" t="str">
        <f t="shared" ca="1" si="1"/>
        <v>"hv16":0.076,</v>
      </c>
      <c r="T6" t="str">
        <f t="shared" ca="1" si="2"/>
        <v>"hv17":0.079}</v>
      </c>
      <c r="U6" t="str">
        <f t="shared" ca="1" si="5"/>
        <v>"hv01":0.122,"hv02":0.163,"hv03":0.202,"hv04":0.267,"hv05":0.138,"hv06":-0.004,"hv07":-0.114,"hv08":-0.208,"hv09":-0.096,"hv10":-0.031,"hv11":-0.069,"hv12":0.084,"hv13":0.195,"hv14":0.072,"hv15":0.074,"hv16":0.076,"hv17":0.079}</v>
      </c>
      <c r="V6" t="s">
        <v>393</v>
      </c>
      <c r="X6" s="4" t="str">
        <f t="shared" si="4"/>
        <v xml:space="preserve">    {"type":"Feature","id":"06","properties":{"name":"California","hv01":0.122,"hv02":0.163,"hv03":0.202,"hv04":0.267,"hv05":0.138,"hv06":-0.004,"hv07":-0.114,"hv08":-0.208,"hv09":-0.096,"hv10":-0.031,"hv11":-0.069,"hv12":0.084,"hv13":0.195,"hv14":0.072,"hv15":0.074,"hv16":0.076,"hv17":0.079},"geometry":{"type":"Polygon","coordinates":[[[-123.233256,42.006186],[-122.378853,42.011663],[-121.037003,41.995232],[-120.001861,41.995232],[-119.996384,40.264519],[-120.001861,38.999346],[-118.71478,38.101128],[-117.498899,37.21934],[-116.540435,36.501861],[-115.85034,35.970598],[-114.634459,35.00118],[-114.634459,34.87521],[-114.470151,34.710902],[-114.333228,34.448009],[-114.136058,34.305608],[-114.256551,34.174162],[-114.415382,34.108438],[-114.535874,33.933176],[-114.497536,33.697668],[-114.524921,33.54979],[-114.727567,33.40739],[-114.661844,33.034958],[-114.524921,33.029481],[-114.470151,32.843265],[-114.524921,32.755634],[-114.72209,32.717295],[-116.04751,32.624187],[-117.126467,32.536556],[-117.24696,32.668003],[-117.252437,32.876127],[-117.329114,33.122589],[-117.471515,33.297851],[-117.7837,33.538836],[-118.183517,33.763391],[-118.260194,33.703145],[-118.413548,33.741483],[-118.391641,33.840068],[-118.566903,34.042715],[-118.802411,33.998899],[-119.218659,34.146777],[-119.278905,34.26727],[-119.558229,34.415147],[-119.875891,34.40967],[-120.138784,34.475393],[-120.472878,34.448009],[-120.64814,34.579455],[-120.609801,34.858779],[-120.670048,34.902595],[-120.631709,35.099764],[-120.894602,35.247642],[-120.905556,35.450289],[-121.004141,35.461243],[-121.168449,35.636505],[-121.283465,35.674843],[-121.332757,35.784382],[-121.716143,36.195153],[-121.896882,36.315645],[-121.935221,36.638785],[-121.858544,36.6114],[-121.787344,36.803093],[-121.929744,36.978355],[-122.105006,36.956447],[-122.335038,37.115279],[-122.417192,37.241248],[-122.400761,37.361741],[-122.515777,37.520572],[-122.515777,37.783465],[-122.329561,37.783465],[-122.406238,38.15042],[-122.488392,38.112082],[-122.504823,37.931343],[-122.701993,37.893004],[-122.937501,38.029928],[-122.97584,38.265436],[-123.129194,38.451652],[-123.331841,38.566668],[-123.44138,38.698114],[-123.737134,38.95553],[-123.687842,39.032208],[-123.824765,39.366301],[-123.764519,39.552517],[-123.85215,39.831841],[-124.109566,40.105688],[-124.361506,40.259042],[-124.410798,40.439781],[-124.158859,40.877937],[-124.109566,41.025814],[-124.158859,41.14083],[-124.065751,41.442061],[-124.147905,41.715908],[-124.257444,41.781632],[-124.213628,42.000709],[-123.233256,42.006186]]]}},</v>
      </c>
    </row>
    <row r="7" spans="1:24" x14ac:dyDescent="0.3">
      <c r="A7" t="s">
        <v>285</v>
      </c>
      <c r="B7" t="s">
        <v>249</v>
      </c>
      <c r="C7" t="str">
        <f t="shared" si="3"/>
        <v>"housevalue":368100}</v>
      </c>
      <c r="D7" t="str">
        <f t="shared" ca="1" si="1"/>
        <v>"hv01":0.078,</v>
      </c>
      <c r="E7" t="str">
        <f t="shared" ca="1" si="1"/>
        <v>"hv02":0.035,</v>
      </c>
      <c r="F7" t="str">
        <f t="shared" ca="1" si="1"/>
        <v>"hv03":0.028,</v>
      </c>
      <c r="G7" t="str">
        <f t="shared" ca="1" si="1"/>
        <v>"hv04":0.032,</v>
      </c>
      <c r="H7" t="str">
        <f t="shared" ca="1" si="1"/>
        <v>"hv05":0.036,</v>
      </c>
      <c r="I7" t="str">
        <f t="shared" ca="1" si="1"/>
        <v>"hv06":0.02,</v>
      </c>
      <c r="J7" t="str">
        <f t="shared" ca="1" si="1"/>
        <v>"hv07":-0.014,</v>
      </c>
      <c r="K7" t="str">
        <f t="shared" ca="1" si="1"/>
        <v>"hv08":-0.037,</v>
      </c>
      <c r="L7" t="str">
        <f t="shared" ca="1" si="1"/>
        <v>"hv09":-0.017,</v>
      </c>
      <c r="M7" t="str">
        <f t="shared" ca="1" si="1"/>
        <v>"hv10":-0.032,</v>
      </c>
      <c r="N7" t="str">
        <f t="shared" ca="1" si="1"/>
        <v>"hv11":-0.017,</v>
      </c>
      <c r="O7" t="str">
        <f t="shared" ca="1" si="1"/>
        <v>"hv12":0.063,</v>
      </c>
      <c r="P7" t="str">
        <f t="shared" ca="1" si="1"/>
        <v>"hv13":0.081,</v>
      </c>
      <c r="Q7" t="str">
        <f t="shared" ca="1" si="1"/>
        <v>"hv14":0.092,</v>
      </c>
      <c r="R7" t="str">
        <f t="shared" ca="1" si="1"/>
        <v>"hv15":0.135,</v>
      </c>
      <c r="S7" t="str">
        <f t="shared" ca="1" si="1"/>
        <v>"hv16":0.106,</v>
      </c>
      <c r="T7" t="str">
        <f t="shared" ca="1" si="2"/>
        <v>"hv17":0.08}</v>
      </c>
      <c r="U7" t="str">
        <f t="shared" ca="1" si="5"/>
        <v>"hv01":0.078,"hv02":0.035,"hv03":0.028,"hv04":0.032,"hv05":0.036,"hv06":0.02,"hv07":-0.014,"hv08":-0.037,"hv09":-0.017,"hv10":-0.032,"hv11":-0.017,"hv12":0.063,"hv13":0.081,"hv14":0.092,"hv15":0.135,"hv16":0.106,"hv17":0.08}</v>
      </c>
      <c r="V7" t="s">
        <v>394</v>
      </c>
      <c r="X7" s="4" t="str">
        <f t="shared" si="4"/>
        <v xml:space="preserve">    {"type":"Feature","id":"08","properties":{"name":"Colorado","hv01":0.078,"hv02":0.035,"hv03":0.028,"hv04":0.032,"hv05":0.036,"hv06":0.02,"hv07":-0.014,"hv08":-0.037,"hv09":-0.017,"hv10":-0.032,"hv11":-0.017,"hv12":0.063,"hv13":0.081,"hv14":0.092,"hv15":0.135,"hv16":0.106,"hv17":0.08},"geometry":{"type":"Polygon","coordinates":[[[-107.919731,41.003906],[-105.728954,40.998429],[-104.053011,41.003906],[-102.053927,41.003906],[-102.053927,40.001626],[-102.042974,36.994786],[-103.001438,37.000263],[-104.337812,36.994786],[-106.868158,36.994786],[-107.421329,37.000263],[-109.042503,37.000263],[-109.042503,38.166851],[-109.058934,38.27639],[-109.053457,39.125316],[-109.04798,40.998429],[-107.919731,41.003906]]]}},</v>
      </c>
    </row>
    <row r="8" spans="1:24" x14ac:dyDescent="0.3">
      <c r="A8" t="s">
        <v>286</v>
      </c>
      <c r="B8" t="s">
        <v>256</v>
      </c>
      <c r="C8" t="str">
        <f t="shared" si="3"/>
        <v>"housevalue":241800}</v>
      </c>
      <c r="D8" t="str">
        <f t="shared" ca="1" si="1"/>
        <v>"hv01":0.104,</v>
      </c>
      <c r="E8" t="str">
        <f t="shared" ca="1" si="1"/>
        <v>"hv02":0.118,</v>
      </c>
      <c r="F8" t="str">
        <f t="shared" ca="1" si="1"/>
        <v>"hv03":0.144,</v>
      </c>
      <c r="G8" t="str">
        <f t="shared" ca="1" si="1"/>
        <v>"hv04":0.127,</v>
      </c>
      <c r="H8" t="str">
        <f t="shared" ca="1" si="1"/>
        <v>"hv05":0.097,</v>
      </c>
      <c r="I8" t="str">
        <f t="shared" ca="1" si="1"/>
        <v>"hv06":0,</v>
      </c>
      <c r="J8" t="str">
        <f t="shared" ca="1" si="1"/>
        <v>"hv07":-0.036,</v>
      </c>
      <c r="K8" t="str">
        <f t="shared" ca="1" si="1"/>
        <v>"hv08":-0.075,</v>
      </c>
      <c r="L8" t="str">
        <f t="shared" ca="1" si="1"/>
        <v>"hv09":-0.051,</v>
      </c>
      <c r="M8" t="str">
        <f t="shared" ca="1" si="1"/>
        <v>"hv10":-0.042,</v>
      </c>
      <c r="N8" t="str">
        <f t="shared" ca="1" si="1"/>
        <v>"hv11":-0.053,</v>
      </c>
      <c r="O8" t="str">
        <f t="shared" ca="1" si="1"/>
        <v>"hv12":-0.022,</v>
      </c>
      <c r="P8" t="str">
        <f t="shared" ca="1" si="1"/>
        <v>"hv13":0.027,</v>
      </c>
      <c r="Q8" t="str">
        <f t="shared" ca="1" si="1"/>
        <v>"hv14":-0.003,</v>
      </c>
      <c r="R8" t="str">
        <f t="shared" ca="1" si="1"/>
        <v>"hv15":0.007,</v>
      </c>
      <c r="S8" t="str">
        <f t="shared" ca="1" si="1"/>
        <v>"hv16":0.019,</v>
      </c>
      <c r="T8" t="str">
        <f t="shared" ca="1" si="2"/>
        <v>"hv17":0.04}</v>
      </c>
      <c r="U8" t="str">
        <f t="shared" ca="1" si="5"/>
        <v>"hv01":0.104,"hv02":0.118,"hv03":0.144,"hv04":0.127,"hv05":0.097,"hv06":0,"hv07":-0.036,"hv08":-0.075,"hv09":-0.051,"hv10":-0.042,"hv11":-0.053,"hv12":-0.022,"hv13":0.027,"hv14":-0.003,"hv15":0.007,"hv16":0.019,"hv17":0.04}</v>
      </c>
      <c r="V8" t="s">
        <v>395</v>
      </c>
      <c r="X8" s="4" t="str">
        <f t="shared" si="4"/>
        <v xml:space="preserve">    {"type":"Feature","id":"09","properties":{"name":"Connecticut","hv01":0.104,"hv02":0.118,"hv03":0.144,"hv04":0.127,"hv05":0.097,"hv06":0,"hv07":-0.036,"hv08":-0.075,"hv09":-0.051,"hv10":-0.042,"hv11":-0.053,"hv12":-0.022,"hv13":0.027,"hv14":-0.003,"hv15":0.007,"hv16":0.019,"hv17":0.04},"geometry":{"type":"Polygon","coordinates":[[[-73.053528,42.039048],[-71.799309,42.022617],[-71.799309,42.006186],[-71.799309,41.414677],[-71.859555,41.321569],[-71.947186,41.338],[-72.385341,41.261322],[-72.905651,41.28323],[-73.130205,41.146307],[-73.371191,41.102491],[-73.655992,40.987475],[-73.727192,41.102491],[-73.48073,41.21203],[-73.55193,41.294184],[-73.486206,42.050002],[-73.053528,42.039048]]]}},</v>
      </c>
    </row>
    <row r="9" spans="1:24" x14ac:dyDescent="0.3">
      <c r="A9" t="s">
        <v>287</v>
      </c>
      <c r="B9" t="s">
        <v>272</v>
      </c>
      <c r="C9" t="str">
        <f t="shared" si="3"/>
        <v>"housevalue":232100}</v>
      </c>
      <c r="D9" t="str">
        <f t="shared" ca="1" si="1"/>
        <v>"hv01":0.081,</v>
      </c>
      <c r="E9" t="str">
        <f t="shared" ca="1" si="1"/>
        <v>"hv02":0.087,</v>
      </c>
      <c r="F9" t="str">
        <f t="shared" ca="1" si="1"/>
        <v>"hv03":0.137,</v>
      </c>
      <c r="G9" t="str">
        <f t="shared" ca="1" si="1"/>
        <v>"hv04":0.234,</v>
      </c>
      <c r="H9" t="str">
        <f t="shared" ca="1" si="1"/>
        <v>"hv05":0.05,</v>
      </c>
      <c r="I9" t="str">
        <f t="shared" ca="1" si="1"/>
        <v>"hv06":0.057,</v>
      </c>
      <c r="J9" t="str">
        <f t="shared" ca="1" si="1"/>
        <v>"hv07":0.015,</v>
      </c>
      <c r="K9" t="str">
        <f t="shared" ca="1" si="1"/>
        <v>"hv08":-0.031,</v>
      </c>
      <c r="L9" t="str">
        <f t="shared" ca="1" si="1"/>
        <v>"hv09":-0.049,</v>
      </c>
      <c r="M9" t="str">
        <f t="shared" ca="1" si="1"/>
        <v>"hv10":0.025,</v>
      </c>
      <c r="N9" t="str">
        <f t="shared" ca="1" si="1"/>
        <v>"hv11":-0.117,</v>
      </c>
      <c r="O9" t="str">
        <f t="shared" ca="1" si="1"/>
        <v>"hv12":-0.055,</v>
      </c>
      <c r="P9" t="str">
        <f t="shared" ca="1" si="1"/>
        <v>"hv13":0.042,</v>
      </c>
      <c r="Q9" t="str">
        <f t="shared" ca="1" si="1"/>
        <v>"hv14":0.026,</v>
      </c>
      <c r="R9" t="str">
        <f t="shared" ca="1" si="1"/>
        <v>"hv15":0.047,</v>
      </c>
      <c r="S9" t="str">
        <f t="shared" ca="1" si="1"/>
        <v>"hv16":0.05,</v>
      </c>
      <c r="T9" t="str">
        <f t="shared" ca="1" si="2"/>
        <v>"hv17":0.079}</v>
      </c>
      <c r="U9" t="str">
        <f t="shared" ca="1" si="5"/>
        <v>"hv01":0.081,"hv02":0.087,"hv03":0.137,"hv04":0.234,"hv05":0.05,"hv06":0.057,"hv07":0.015,"hv08":-0.031,"hv09":-0.049,"hv10":0.025,"hv11":-0.117,"hv12":-0.055,"hv13":0.042,"hv14":0.026,"hv15":0.047,"hv16":0.05,"hv17":0.079}</v>
      </c>
      <c r="V9" t="s">
        <v>396</v>
      </c>
      <c r="X9" s="4" t="str">
        <f t="shared" si="4"/>
        <v xml:space="preserve">    {"type":"Feature","id":"10","properties":{"name":"Delaware","hv01":0.081,"hv02":0.087,"hv03":0.137,"hv04":0.234,"hv05":0.05,"hv06":0.057,"hv07":0.015,"hv08":-0.031,"hv09":-0.049,"hv10":0.025,"hv11":-0.117,"hv12":-0.055,"hv13":0.042,"hv14":0.026,"hv15":0.047,"hv16":0.05,"hv17":0.079},"geometry":{"type":"Polygon","coordinates":[[[-75.414089,39.804456],[-75.507197,39.683964],[-75.611259,39.61824],[-75.589352,39.459409],[-75.441474,39.311532],[-75.403136,39.065069],[-75.189535,38.807653],[-75.09095,38.796699],[-75.047134,38.451652],[-75.693413,38.462606],[-75.786521,39.722302],[-75.616736,39.831841],[-75.414089,39.804456]]]}},</v>
      </c>
    </row>
    <row r="10" spans="1:24" x14ac:dyDescent="0.3">
      <c r="A10" t="s">
        <v>288</v>
      </c>
      <c r="B10" t="s">
        <v>277</v>
      </c>
      <c r="C10" t="str">
        <f t="shared" si="3"/>
        <v>"housevalue":572100}</v>
      </c>
      <c r="D10" t="str">
        <f t="shared" ca="1" si="1"/>
        <v>"hv01":0.169,</v>
      </c>
      <c r="E10" t="str">
        <f t="shared" ca="1" si="1"/>
        <v>"hv02":0.235,</v>
      </c>
      <c r="F10" t="str">
        <f t="shared" ca="1" si="1"/>
        <v>"hv03":0.239,</v>
      </c>
      <c r="G10" t="str">
        <f t="shared" ca="1" si="1"/>
        <v>"hv04":0.253,</v>
      </c>
      <c r="H10" t="str">
        <f t="shared" ca="1" si="1"/>
        <v>"hv05":0.141,</v>
      </c>
      <c r="I10" t="str">
        <f t="shared" ca="1" si="1"/>
        <v>"hv06":0.022,</v>
      </c>
      <c r="J10" t="str">
        <f t="shared" ca="1" si="1"/>
        <v>"hv07":-0.006,</v>
      </c>
      <c r="K10" t="str">
        <f t="shared" ca="1" si="1"/>
        <v>"hv08":-0.072,</v>
      </c>
      <c r="L10" t="str">
        <f t="shared" ca="1" si="1"/>
        <v>"hv09":-0.043,</v>
      </c>
      <c r="M10" t="str">
        <f t="shared" ca="1" si="1"/>
        <v>"hv10":0.008,</v>
      </c>
      <c r="N10" t="str">
        <f t="shared" ca="1" si="1"/>
        <v>"hv11":-0.009,</v>
      </c>
      <c r="O10" t="str">
        <f t="shared" ca="1" si="1"/>
        <v>"hv12":0.091,</v>
      </c>
      <c r="P10" t="str">
        <f t="shared" ca="1" si="1"/>
        <v>"hv13":0.115,</v>
      </c>
      <c r="Q10" t="str">
        <f t="shared" ca="1" si="1"/>
        <v>"hv14":0.055,</v>
      </c>
      <c r="R10" t="str">
        <f t="shared" ca="1" si="1"/>
        <v>"hv15":0.067,</v>
      </c>
      <c r="S10" t="str">
        <f t="shared" ca="1" si="1"/>
        <v>"hv16":0.094,</v>
      </c>
      <c r="T10" t="str">
        <f t="shared" ca="1" si="2"/>
        <v>"hv17":0.038}</v>
      </c>
      <c r="U10" t="str">
        <f t="shared" ca="1" si="5"/>
        <v>"hv01":0.169,"hv02":0.235,"hv03":0.239,"hv04":0.253,"hv05":0.141,"hv06":0.022,"hv07":-0.006,"hv08":-0.072,"hv09":-0.043,"hv10":0.008,"hv11":-0.009,"hv12":0.091,"hv13":0.115,"hv14":0.055,"hv15":0.067,"hv16":0.094,"hv17":0.038}</v>
      </c>
      <c r="V10" t="s">
        <v>397</v>
      </c>
      <c r="X10" s="4" t="str">
        <f t="shared" si="4"/>
        <v xml:space="preserve">    {"type":"Feature","id":"11","properties":{"name":"District of Columbia","hv01":0.169,"hv02":0.235,"hv03":0.239,"hv04":0.253,"hv05":0.141,"hv06":0.022,"hv07":-0.006,"hv08":-0.072,"hv09":-0.043,"hv10":0.008,"hv11":-0.009,"hv12":0.091,"hv13":0.115,"hv14":0.055,"hv15":0.067,"hv16":0.094,"hv17":0.038},"geometry":{"type":"Polygon","coordinates":[[[-77.035264,38.993869],[-76.909294,38.895284],[-77.040741,38.791222],[-77.117418,38.933623],[-77.035264,38.993869]]]}},</v>
      </c>
    </row>
    <row r="11" spans="1:24" x14ac:dyDescent="0.3">
      <c r="A11" t="s">
        <v>289</v>
      </c>
      <c r="B11" t="s">
        <v>231</v>
      </c>
      <c r="C11" t="str">
        <f t="shared" si="3"/>
        <v>"housevalue":227800}</v>
      </c>
      <c r="D11" t="str">
        <f t="shared" ca="1" si="1"/>
        <v>"hv01":0.127,</v>
      </c>
      <c r="E11" t="str">
        <f t="shared" ca="1" si="1"/>
        <v>"hv02":0.094,</v>
      </c>
      <c r="F11" t="str">
        <f t="shared" ca="1" si="1"/>
        <v>"hv03":0.132,</v>
      </c>
      <c r="G11" t="str">
        <f t="shared" ca="1" si="1"/>
        <v>"hv04":0.222,</v>
      </c>
      <c r="H11" t="str">
        <f t="shared" ca="1" si="1"/>
        <v>"hv05":0.303,</v>
      </c>
      <c r="I11" t="str">
        <f t="shared" ca="1" si="1"/>
        <v>"hv06":0.062,</v>
      </c>
      <c r="J11" t="str">
        <f t="shared" ca="1" si="1"/>
        <v>"hv07":-0.132,</v>
      </c>
      <c r="K11" t="str">
        <f t="shared" ca="1" si="1"/>
        <v>"hv08":-0.214,</v>
      </c>
      <c r="L11" t="str">
        <f t="shared" ca="1" si="1"/>
        <v>"hv09":-0.179,</v>
      </c>
      <c r="M11" t="str">
        <f t="shared" ca="1" si="1"/>
        <v>"hv10":-0.086,</v>
      </c>
      <c r="N11" t="str">
        <f t="shared" ca="1" si="1"/>
        <v>"hv11":-0.053,</v>
      </c>
      <c r="O11" t="str">
        <f t="shared" ca="1" si="1"/>
        <v>"hv12":0.041,</v>
      </c>
      <c r="P11" t="str">
        <f t="shared" ca="1" si="1"/>
        <v>"hv13":0.124,</v>
      </c>
      <c r="Q11" t="str">
        <f t="shared" ca="1" si="1"/>
        <v>"hv14":0.092,</v>
      </c>
      <c r="R11" t="str">
        <f t="shared" ca="1" si="1"/>
        <v>"hv15":0.099,</v>
      </c>
      <c r="S11" t="str">
        <f t="shared" ca="1" si="1"/>
        <v>"hv16":0.125,</v>
      </c>
      <c r="T11" t="str">
        <f t="shared" ca="1" si="2"/>
        <v>"hv17":0.096}</v>
      </c>
      <c r="U11" t="str">
        <f t="shared" ca="1" si="5"/>
        <v>"hv01":0.127,"hv02":0.094,"hv03":0.132,"hv04":0.222,"hv05":0.303,"hv06":0.062,"hv07":-0.132,"hv08":-0.214,"hv09":-0.179,"hv10":-0.086,"hv11":-0.053,"hv12":0.041,"hv13":0.124,"hv14":0.092,"hv15":0.099,"hv16":0.125,"hv17":0.096}</v>
      </c>
      <c r="V11" t="s">
        <v>398</v>
      </c>
      <c r="X11" s="4" t="str">
        <f t="shared" si="4"/>
        <v xml:space="preserve">    {"type":"Feature","id":"12","properties":{"name":"Florida","hv01":0.127,"hv02":0.094,"hv03":0.132,"hv04":0.222,"hv05":0.303,"hv06":0.062,"hv07":-0.132,"hv08":-0.214,"hv09":-0.179,"hv10":-0.086,"hv11":-0.053,"hv12":0.041,"hv13":0.124,"hv14":0.092,"hv15":0.099,"hv16":0.125,"hv17":0.096},"geometry":{"type":"Polygon","coordinates":[[[-85.497137,30.997536],[-85.004212,31.003013],[-84.867289,30.712735],[-83.498053,30.647012],[-82.216449,30.570335],[-82.167157,30.356734],[-82.046664,30.362211],[-82.002849,30.564858],[-82.041187,30.751074],[-81.948079,30.827751],[-81.718048,30.745597],[-81.444201,30.707258],[-81.383954,30.27458],[-81.257985,29.787132],[-80.967707,29.14633],[-80.524075,28.461713],[-80.589798,28.41242],[-80.56789,28.094758],[-80.381674,27.738757],[-80.091397,27.021277],[-80.03115,26.796723],[-80.036627,26.566691],[-80.146166,25.739673],[-80.239274,25.723243],[-80.337859,25.465826],[-80.304997,25.383672],[-80.49669,25.197456],[-80.573367,25.241272],[-80.759583,25.164595],[-81.077246,25.120779],[-81.170354,25.224841],[-81.126538,25.378195],[-81.351093,25.821827],[-81.526355,25.903982],[-81.679709,25.843735],[-81.800202,26.090198],[-81.833064,26.292844],[-82.041187,26.517399],[-82.09048,26.665276],[-82.057618,26.878877],[-82.172634,26.917216],[-82.145249,26.791246],[-82.249311,26.758384],[-82.566974,27.300601],[-82.692943,27.437525],[-82.391711,27.837342],[-82.588881,27.815434],[-82.720328,27.689464],[-82.851774,27.886634],[-82.676512,28.434328],[-82.643651,28.888914],[-82.764143,28.998453],[-82.802482,29.14633],[-82.994175,29.179192],[-83.218729,29.420177],[-83.399469,29.518762],[-83.410422,29.66664],[-83.536392,29.721409],[-83.640454,29.885717],[-84.02384,30.104795],[-84.357933,30.055502],[-84.341502,29.902148],[-84.451041,29.929533],[-84.867289,29.743317],[-85.310921,29.699501],[-85.299967,29.80904],[-85.404029,29.940487],[-85.924338,30.236241],[-86.29677,30.362211],[-86.630863,30.395073],[-86.910187,30.373165],[-87.518128,30.280057],[-87.37025,30.427934],[-87.446927,30.510088],[-87.408589,30.674397],[-87.633143,30.86609],[-87.600282,30.997536],[-85.497137,30.997536]]]}},</v>
      </c>
    </row>
    <row r="12" spans="1:24" x14ac:dyDescent="0.3">
      <c r="A12" t="s">
        <v>290</v>
      </c>
      <c r="B12" t="s">
        <v>236</v>
      </c>
      <c r="C12" t="str">
        <f t="shared" si="3"/>
        <v>"housevalue":179200}</v>
      </c>
      <c r="D12" t="str">
        <f t="shared" ref="D12:S21" ca="1" si="6">CHAR(34)&amp;D$56&amp;CHAR(34)&amp;":"&amp;INDIRECT("HV_PCT_CHG!"&amp;D$1&amp;ROW($A12))&amp;","</f>
        <v>"hv01":0.06,</v>
      </c>
      <c r="E12" t="str">
        <f t="shared" ca="1" si="6"/>
        <v>"hv02":0.052,</v>
      </c>
      <c r="F12" t="str">
        <f t="shared" ca="1" si="6"/>
        <v>"hv03":0.029,</v>
      </c>
      <c r="G12" t="str">
        <f t="shared" ca="1" si="6"/>
        <v>"hv04":0.054,</v>
      </c>
      <c r="H12" t="str">
        <f t="shared" ca="1" si="6"/>
        <v>"hv05":0.038,</v>
      </c>
      <c r="I12" t="str">
        <f t="shared" ca="1" si="6"/>
        <v>"hv06":0.044,</v>
      </c>
      <c r="J12" t="str">
        <f t="shared" ca="1" si="6"/>
        <v>"hv07":-0.002,</v>
      </c>
      <c r="K12" t="str">
        <f t="shared" ca="1" si="6"/>
        <v>"hv08":-0.078,</v>
      </c>
      <c r="L12" t="str">
        <f t="shared" ca="1" si="6"/>
        <v>"hv09":-0.086,</v>
      </c>
      <c r="M12" t="str">
        <f t="shared" ca="1" si="6"/>
        <v>"hv10":-0.075,</v>
      </c>
      <c r="N12" t="str">
        <f t="shared" ca="1" si="6"/>
        <v>"hv11":-0.113,</v>
      </c>
      <c r="O12" t="str">
        <f t="shared" ca="1" si="6"/>
        <v>"hv12":0.009,</v>
      </c>
      <c r="P12" t="str">
        <f t="shared" ca="1" si="6"/>
        <v>"hv13":0.098,</v>
      </c>
      <c r="Q12" t="str">
        <f t="shared" ca="1" si="6"/>
        <v>"hv14":0.09,</v>
      </c>
      <c r="R12" t="str">
        <f t="shared" ca="1" si="6"/>
        <v>"hv15":0.06,</v>
      </c>
      <c r="S12" t="str">
        <f t="shared" ca="1" si="6"/>
        <v>"hv16":0.083,</v>
      </c>
      <c r="T12" t="str">
        <f t="shared" ca="1" si="2"/>
        <v>"hv17":0.078}</v>
      </c>
      <c r="U12" t="str">
        <f t="shared" ca="1" si="5"/>
        <v>"hv01":0.06,"hv02":0.052,"hv03":0.029,"hv04":0.054,"hv05":0.038,"hv06":0.044,"hv07":-0.002,"hv08":-0.078,"hv09":-0.086,"hv10":-0.075,"hv11":-0.113,"hv12":0.009,"hv13":0.098,"hv14":0.09,"hv15":0.06,"hv16":0.083,"hv17":0.078}</v>
      </c>
      <c r="V12" t="s">
        <v>399</v>
      </c>
      <c r="X12" s="4" t="str">
        <f t="shared" si="4"/>
        <v xml:space="preserve">    {"type":"Feature","id":"13","properties":{"name":"Georgia","hv01":0.06,"hv02":0.052,"hv03":0.029,"hv04":0.054,"hv05":0.038,"hv06":0.044,"hv07":-0.002,"hv08":-0.078,"hv09":-0.086,"hv10":-0.075,"hv11":-0.113,"hv12":0.009,"hv13":0.098,"hv14":0.09,"hv15":0.06,"hv16":0.083,"hv17":0.078},"geometry":{"type":"Polygon","coordinates":[[[-83.109191,35.00118],[-83.322791,34.787579],[-83.339222,34.683517],[-83.005129,34.469916],[-82.901067,34.486347],[-82.747713,34.26727],[-82.714851,34.152254],[-82.55602,33.94413],[-82.325988,33.81816],[-82.194542,33.631944],[-81.926172,33.462159],[-81.937125,33.347144],[-81.761863,33.160928],[-81.493493,33.007573],[-81.42777,32.843265],[-81.416816,32.629664],[-81.279893,32.558464],[-81.121061,32.290094],[-81.115584,32.120309],[-80.885553,32.032678],[-81.132015,31.693108],[-81.175831,31.517845],[-81.279893,31.364491],[-81.290846,31.20566],[-81.400385,31.13446],[-81.444201,30.707258],[-81.718048,30.745597],[-81.948079,30.827751],[-82.041187,30.751074],[-82.002849,30.564858],[-82.046664,30.362211],[-82.167157,30.356734],[-82.216449,30.570335],[-83.498053,30.647012],[-84.867289,30.712735],[-85.004212,31.003013],[-85.113751,31.27686],[-85.042551,31.539753],[-85.141136,31.840985],[-85.053504,32.01077],[-85.058981,32.13674],[-84.889196,32.262709],[-85.004212,32.322956],[-84.960397,32.421541],[-85.069935,32.580372],[-85.184951,32.859696],[-85.431413,34.124869],[-85.606675,34.984749],[-84.319594,34.990226],[-83.618546,34.984749],[-83.109191,35.00118]]]}},</v>
      </c>
    </row>
    <row r="13" spans="1:24" x14ac:dyDescent="0.3">
      <c r="A13" t="s">
        <v>291</v>
      </c>
      <c r="B13" t="s">
        <v>267</v>
      </c>
      <c r="C13" t="str">
        <f t="shared" si="3"/>
        <v>"housevalue":619000}</v>
      </c>
      <c r="D13" t="str">
        <f t="shared" ca="1" si="6"/>
        <v>"hv01":0.055,</v>
      </c>
      <c r="E13" t="str">
        <f t="shared" ca="1" si="6"/>
        <v>"hv02":0.116,</v>
      </c>
      <c r="F13" t="str">
        <f t="shared" ca="1" si="6"/>
        <v>"hv03":0.218,</v>
      </c>
      <c r="G13" t="str">
        <f t="shared" ca="1" si="6"/>
        <v>"hv04":0.322,</v>
      </c>
      <c r="H13" t="str">
        <f t="shared" ca="1" si="6"/>
        <v>"hv05":0.233,</v>
      </c>
      <c r="I13" t="str">
        <f t="shared" ca="1" si="6"/>
        <v>"hv06":0.05,</v>
      </c>
      <c r="J13" t="str">
        <f t="shared" ca="1" si="6"/>
        <v>"hv07":-0.031,</v>
      </c>
      <c r="K13" t="str">
        <f t="shared" ca="1" si="6"/>
        <v>"hv08":-0.103,</v>
      </c>
      <c r="L13" t="str">
        <f t="shared" ca="1" si="6"/>
        <v>"hv09":-0.091,</v>
      </c>
      <c r="M13" t="str">
        <f t="shared" ca="1" si="6"/>
        <v>"hv10":-0.014,</v>
      </c>
      <c r="N13" t="str">
        <f t="shared" ca="1" si="6"/>
        <v>"hv11":-0.035,</v>
      </c>
      <c r="O13" t="str">
        <f t="shared" ca="1" si="6"/>
        <v>"hv12":0.06,</v>
      </c>
      <c r="P13" t="str">
        <f t="shared" ca="1" si="6"/>
        <v>"hv13":0.091,</v>
      </c>
      <c r="Q13" t="str">
        <f t="shared" ca="1" si="6"/>
        <v>"hv14":0.077,</v>
      </c>
      <c r="R13" t="str">
        <f t="shared" ca="1" si="6"/>
        <v>"hv15":0.049,</v>
      </c>
      <c r="S13" t="str">
        <f t="shared" ca="1" si="6"/>
        <v>"hv16":0.08,</v>
      </c>
      <c r="T13" t="str">
        <f t="shared" ca="1" si="2"/>
        <v>"hv17":0.039}</v>
      </c>
      <c r="U13" t="str">
        <f t="shared" ca="1" si="5"/>
        <v>"hv01":0.055,"hv02":0.116,"hv03":0.218,"hv04":0.322,"hv05":0.233,"hv06":0.05,"hv07":-0.031,"hv08":-0.103,"hv09":-0.091,"hv10":-0.014,"hv11":-0.035,"hv12":0.06,"hv13":0.091,"hv14":0.077,"hv15":0.049,"hv16":0.08,"hv17":0.039}</v>
      </c>
      <c r="V13" t="s">
        <v>400</v>
      </c>
      <c r="X13" s="4" t="str">
        <f t="shared" si="4"/>
        <v xml:space="preserve">    {"type":"Feature","id":"15","properties":{"name":"Hawaii","hv01":0.055,"hv02":0.116,"hv03":0.218,"hv04":0.322,"hv05":0.233,"hv06":0.05,"hv07":-0.031,"hv08":-0.103,"hv09":-0.091,"hv10":-0.014,"hv11":-0.035,"hv12":0.06,"hv13":0.091,"hv14":0.077,"hv15":0.049,"hv16":0.08,"hv17":0.039},"geometry":{"type":"MultiPolygon","coordinates":[[[[-155.634835,18.948267],[-155.881297,19.035898],[-155.919636,19.123529],[-155.886774,19.348084],[-156.062036,19.73147],[-155.925113,19.857439],[-155.826528,20.032702],[-155.897728,20.147717],[-155.87582,20.26821],[-155.596496,20.12581],[-155.284311,20.021748],[-155.092618,19.868393],[-155.092618,19.736947],[-154.807817,19.523346],[-154.983079,19.348084],[-155.295265,19.26593],[-155.514342,19.134483],[-155.634835,18.948267]]],[[[-156.587823,21.029505],[-156.472807,20.892581],[-156.324929,20.952827],[-156.00179,20.793996],[-156.051082,20.651596],[-156.379699,20.580396],[-156.445422,20.60778],[-156.461853,20.783042],[-156.631638,20.821381],[-156.697361,20.919966],[-156.587823,21.029505]]],[[[-156.982162,21.210244],[-157.080747,21.106182],[-157.310779,21.106182],[-157.239579,21.221198],[-156.982162,21.210244]]],[[[-157.951581,21.697691],[-157.842042,21.462183],[-157.896811,21.325259],[-158.110412,21.303352],[-158.252813,21.582676],[-158.126843,21.588153],[-157.951581,21.697691]]],[[[-159.468693,22.228955],[-159.353678,22.218001],[-159.298908,22.113939],[-159.33177,21.966061],[-159.446786,21.872953],[-159.764448,21.987969],[-159.726109,22.152277],[-159.468693,22.228955]]]]}},</v>
      </c>
    </row>
    <row r="14" spans="1:24" x14ac:dyDescent="0.3">
      <c r="A14" t="s">
        <v>292</v>
      </c>
      <c r="B14" t="s">
        <v>266</v>
      </c>
      <c r="C14" t="str">
        <f t="shared" si="3"/>
        <v>"housevalue":241300}</v>
      </c>
      <c r="D14" t="str">
        <f t="shared" ca="1" si="6"/>
        <v>"hv01":-0.008,</v>
      </c>
      <c r="E14" t="str">
        <f t="shared" ca="1" si="6"/>
        <v>"hv02":0.028,</v>
      </c>
      <c r="F14" t="str">
        <f t="shared" ca="1" si="6"/>
        <v>"hv03":0.038,</v>
      </c>
      <c r="G14" t="str">
        <f t="shared" ca="1" si="6"/>
        <v>"hv04":0.077,</v>
      </c>
      <c r="H14" t="str">
        <f t="shared" ca="1" si="6"/>
        <v>"hv05":0.171,</v>
      </c>
      <c r="I14" t="str">
        <f t="shared" ca="1" si="6"/>
        <v>"hv06":0.135,</v>
      </c>
      <c r="J14" t="str">
        <f t="shared" ca="1" si="6"/>
        <v>"hv07":0.014,</v>
      </c>
      <c r="K14" t="str">
        <f t="shared" ca="1" si="6"/>
        <v>"hv08":-0.058,</v>
      </c>
      <c r="L14" t="str">
        <f t="shared" ca="1" si="6"/>
        <v>"hv09":-0.084,</v>
      </c>
      <c r="M14" t="str">
        <f t="shared" ca="1" si="6"/>
        <v>"hv10":-0.087,</v>
      </c>
      <c r="N14" t="str">
        <f t="shared" ca="1" si="6"/>
        <v>"hv11":-0.06,</v>
      </c>
      <c r="O14" t="str">
        <f t="shared" ca="1" si="6"/>
        <v>"hv12":0.046,</v>
      </c>
      <c r="P14" t="str">
        <f t="shared" ca="1" si="6"/>
        <v>"hv13":0.097,</v>
      </c>
      <c r="Q14" t="str">
        <f t="shared" ca="1" si="6"/>
        <v>"hv14":0.056,</v>
      </c>
      <c r="R14" t="str">
        <f t="shared" ca="1" si="6"/>
        <v>"hv15":0.063,</v>
      </c>
      <c r="S14" t="str">
        <f t="shared" ca="1" si="6"/>
        <v>"hv16":0.085,</v>
      </c>
      <c r="T14" t="str">
        <f t="shared" ca="1" si="2"/>
        <v>"hv17":0.106}</v>
      </c>
      <c r="U14" t="str">
        <f t="shared" ca="1" si="5"/>
        <v>"hv01":-0.008,"hv02":0.028,"hv03":0.038,"hv04":0.077,"hv05":0.171,"hv06":0.135,"hv07":0.014,"hv08":-0.058,"hv09":-0.084,"hv10":-0.087,"hv11":-0.06,"hv12":0.046,"hv13":0.097,"hv14":0.056,"hv15":0.063,"hv16":0.085,"hv17":0.106}</v>
      </c>
      <c r="V14" t="s">
        <v>401</v>
      </c>
      <c r="X14" s="4" t="str">
        <f t="shared" si="4"/>
        <v xml:space="preserve">    {"type":"Feature","id":"16","properties":{"name":"Idaho","hv01":-0.008,"hv02":0.028,"hv03":0.038,"hv04":0.077,"hv05":0.171,"hv06":0.135,"hv07":0.014,"hv08":-0.058,"hv09":-0.084,"hv10":-0.087,"hv11":-0.06,"hv12":0.046,"hv13":0.097,"hv14":0.056,"hv15":0.063,"hv16":0.085,"hv17":0.106},"geometry":{"type":"Polygon","coordinates":[[[-116.04751,49.000239],[-116.04751,47.976051],[-115.724371,47.696727],[-115.718894,47.42288],[-115.527201,47.302388],[-115.324554,47.258572],[-115.302646,47.187372],[-114.930214,46.919002],[-114.886399,46.809463],[-114.623506,46.705401],[-114.612552,46.639678],[-114.322274,46.645155],[-114.464674,46.272723],[-114.492059,46.037214],[-114.387997,45.88386],[-114.568736,45.774321],[-114.497536,45.670259],[-114.546828,45.560721],[-114.333228,45.456659],[-114.086765,45.593582],[-113.98818,45.703121],[-113.807441,45.604536],[-113.834826,45.522382],[-113.736241,45.330689],[-113.571933,45.128042],[-113.45144,45.056842],[-113.456917,44.865149],[-113.341901,44.782995],[-113.133778,44.772041],[-113.002331,44.448902],[-112.887315,44.394132],[-112.783254,44.48724],[-112.471068,44.481763],[-112.241036,44.569394],[-112.104113,44.520102],[-111.868605,44.563917],[-111.819312,44.509148],[-111.616665,44.547487],[-111.386634,44.75561],[-111.227803,44.580348],[-111.047063,44.476286],[-111.047063,42.000709],[-112.164359,41.995232],[-114.04295,41.995232],[-117.027882,42.000709],[-117.027882,43.830007],[-116.896436,44.158624],[-116.97859,44.240778],[-117.170283,44.257209],[-117.241483,44.394132],[-117.038836,44.750133],[-116.934774,44.782995],[-116.830713,44.930872],[-116.847143,45.02398],[-116.732128,45.144473],[-116.671881,45.319735],[-116.463758,45.61549],[-116.545912,45.752413],[-116.78142,45.823614],[-116.918344,45.993399],[-116.92382,46.168661],[-117.055267,46.343923],[-117.038836,46.426077],[-117.044313,47.762451],[-117.033359,49.000239],[-116.04751,49.000239]]]}},</v>
      </c>
    </row>
    <row r="15" spans="1:24" x14ac:dyDescent="0.3">
      <c r="A15" t="s">
        <v>293</v>
      </c>
      <c r="B15" t="s">
        <v>232</v>
      </c>
      <c r="C15" t="str">
        <f t="shared" si="3"/>
        <v>"housevalue":176800}</v>
      </c>
      <c r="D15" t="str">
        <f t="shared" ca="1" si="6"/>
        <v>"hv01":0.073,</v>
      </c>
      <c r="E15" t="str">
        <f t="shared" ca="1" si="6"/>
        <v>"hv02":0.065,</v>
      </c>
      <c r="F15" t="str">
        <f t="shared" ca="1" si="6"/>
        <v>"hv03":0.059,</v>
      </c>
      <c r="G15" t="str">
        <f t="shared" ca="1" si="6"/>
        <v>"hv04":0.077,</v>
      </c>
      <c r="H15" t="str">
        <f t="shared" ca="1" si="6"/>
        <v>"hv05":0.078,</v>
      </c>
      <c r="I15" t="str">
        <f t="shared" ca="1" si="6"/>
        <v>"hv06":0.044,</v>
      </c>
      <c r="J15" t="str">
        <f t="shared" ca="1" si="6"/>
        <v>"hv07":-0.019,</v>
      </c>
      <c r="K15" t="str">
        <f t="shared" ca="1" si="6"/>
        <v>"hv08":-0.091,</v>
      </c>
      <c r="L15" t="str">
        <f t="shared" ca="1" si="6"/>
        <v>"hv09":-0.103,</v>
      </c>
      <c r="M15" t="str">
        <f t="shared" ca="1" si="6"/>
        <v>"hv10":-0.076,</v>
      </c>
      <c r="N15" t="str">
        <f t="shared" ca="1" si="6"/>
        <v>"hv11":-0.089,</v>
      </c>
      <c r="O15" t="str">
        <f t="shared" ca="1" si="6"/>
        <v>"hv12":-0.012,</v>
      </c>
      <c r="P15" t="str">
        <f t="shared" ca="1" si="6"/>
        <v>"hv13":0.05,</v>
      </c>
      <c r="Q15" t="str">
        <f t="shared" ca="1" si="6"/>
        <v>"hv14":0.051,</v>
      </c>
      <c r="R15" t="str">
        <f t="shared" ca="1" si="6"/>
        <v>"hv15":0.045,</v>
      </c>
      <c r="S15" t="str">
        <f t="shared" ca="1" si="6"/>
        <v>"hv16":0.046,</v>
      </c>
      <c r="T15" t="str">
        <f t="shared" ca="1" si="2"/>
        <v>"hv17":0.05}</v>
      </c>
      <c r="U15" t="str">
        <f t="shared" ca="1" si="5"/>
        <v>"hv01":0.073,"hv02":0.065,"hv03":0.059,"hv04":0.077,"hv05":0.078,"hv06":0.044,"hv07":-0.019,"hv08":-0.091,"hv09":-0.103,"hv10":-0.076,"hv11":-0.089,"hv12":-0.012,"hv13":0.05,"hv14":0.051,"hv15":0.045,"hv16":0.046,"hv17":0.05}</v>
      </c>
      <c r="V15" t="s">
        <v>402</v>
      </c>
      <c r="X15" s="4" t="str">
        <f t="shared" si="4"/>
        <v xml:space="preserve">    {"type":"Feature","id":"17","properties":{"name":"Illinois","hv01":0.073,"hv02":0.065,"hv03":0.059,"hv04":0.077,"hv05":0.078,"hv06":0.044,"hv07":-0.019,"hv08":-0.091,"hv09":-0.103,"hv10":-0.076,"hv11":-0.089,"hv12":-0.012,"hv13":0.05,"hv14":0.051,"hv15":0.045,"hv16":0.046,"hv17":0.05},"geometry":{"type":"Polygon","coordinates":[[[-90.639984,42.510065],[-88.788778,42.493634],[-87.802929,42.493634],[-87.83579,42.301941],[-87.682436,42.077386],[-87.523605,41.710431],[-87.529082,39.34987],[-87.63862,39.169131],[-87.512651,38.95553],[-87.49622,38.780268],[-87.62219,38.637868],[-87.655051,38.506421],[-87.83579,38.292821],[-87.950806,38.27639],[-87.923421,38.15042],[-88.000098,38.101128],[-88.060345,37.865619],[-88.027483,37.799896],[-88.15893,37.657496],[-88.065822,37.482234],[-88.476592,37.389126],[-88.514931,37.285064],[-88.421823,37.153617],[-88.547792,37.071463],[-88.914747,37.224817],[-89.029763,37.213863],[-89.183118,37.038601],[-89.133825,36.983832],[-89.292656,36.994786],[-89.517211,37.279587],[-89.435057,37.34531],[-89.517211,37.537003],[-89.517211,37.690357],[-89.84035,37.903958],[-89.949889,37.88205],[-90.059428,38.013497],[-90.355183,38.216144],[-90.349706,38.374975],[-90.179921,38.632391],[-90.207305,38.725499],[-90.10872,38.845992],[-90.251121,38.917192],[-90.470199,38.961007],[-90.585214,38.867899],[-90.661891,38.928146],[-90.727615,39.256762],[-91.061708,39.470363],[-91.368417,39.727779],[-91.494386,40.034488],[-91.50534,40.237135],[-91.417709,40.379535],[-91.401278,40.560274],[-91.121954,40.669813],[-91.09457,40.823167],[-90.963123,40.921752],[-90.946692,41.097014],[-91.111001,41.239415],[-91.045277,41.414677],[-90.656414,41.463969],[-90.344229,41.589939],[-90.311367,41.743293],[-90.179921,41.809016],[-90.141582,42.000709],[-90.168967,42.126679],[-90.393521,42.225264],[-90.420906,42.329326],[-90.639984,42.510065]]]}},</v>
      </c>
    </row>
    <row r="16" spans="1:24" x14ac:dyDescent="0.3">
      <c r="A16" t="s">
        <v>294</v>
      </c>
      <c r="B16" t="s">
        <v>242</v>
      </c>
      <c r="C16" t="str">
        <f t="shared" si="3"/>
        <v>"housevalue":137300}</v>
      </c>
      <c r="D16" t="str">
        <f t="shared" ca="1" si="6"/>
        <v>"hv01":0.074,</v>
      </c>
      <c r="E16" t="str">
        <f t="shared" ca="1" si="6"/>
        <v>"hv02":0.001,</v>
      </c>
      <c r="F16" t="str">
        <f t="shared" ca="1" si="6"/>
        <v>"hv03":0.002,</v>
      </c>
      <c r="G16" t="str">
        <f t="shared" ca="1" si="6"/>
        <v>"hv04":0.036,</v>
      </c>
      <c r="H16" t="str">
        <f t="shared" ca="1" si="6"/>
        <v>"hv05":0.068,</v>
      </c>
      <c r="I16" t="str">
        <f t="shared" ca="1" si="6"/>
        <v>"hv06":0.024,</v>
      </c>
      <c r="J16" t="str">
        <f t="shared" ca="1" si="6"/>
        <v>"hv07":0.003,</v>
      </c>
      <c r="K16" t="str">
        <f t="shared" ca="1" si="6"/>
        <v>"hv08":-0.035,</v>
      </c>
      <c r="L16" t="str">
        <f t="shared" ca="1" si="6"/>
        <v>"hv09":-0.051,</v>
      </c>
      <c r="M16" t="str">
        <f t="shared" ca="1" si="6"/>
        <v>"hv10":0,</v>
      </c>
      <c r="N16" t="str">
        <f t="shared" ca="1" si="6"/>
        <v>"hv11":-0.034,</v>
      </c>
      <c r="O16" t="str">
        <f t="shared" ca="1" si="6"/>
        <v>"hv12":0.011,</v>
      </c>
      <c r="P16" t="str">
        <f t="shared" ca="1" si="6"/>
        <v>"hv13":-0.009,</v>
      </c>
      <c r="Q16" t="str">
        <f t="shared" ca="1" si="6"/>
        <v>"hv14":0.035,</v>
      </c>
      <c r="R16" t="str">
        <f t="shared" ca="1" si="6"/>
        <v>"hv15":0.036,</v>
      </c>
      <c r="S16" t="str">
        <f t="shared" ca="1" si="6"/>
        <v>"hv16":0.071,</v>
      </c>
      <c r="T16" t="str">
        <f t="shared" ca="1" si="2"/>
        <v>"hv17":0.068}</v>
      </c>
      <c r="U16" t="str">
        <f t="shared" ca="1" si="5"/>
        <v>"hv01":0.074,"hv02":0.001,"hv03":0.002,"hv04":0.036,"hv05":0.068,"hv06":0.024,"hv07":0.003,"hv08":-0.035,"hv09":-0.051,"hv10":0,"hv11":-0.034,"hv12":0.011,"hv13":-0.009,"hv14":0.035,"hv15":0.036,"hv16":0.071,"hv17":0.068}</v>
      </c>
      <c r="V16" t="s">
        <v>403</v>
      </c>
      <c r="X16" s="4" t="str">
        <f t="shared" si="4"/>
        <v xml:space="preserve">    {"type":"Feature","id":"18","properties":{"name":"Indiana","hv01":0.074,"hv02":0.001,"hv03":0.002,"hv04":0.036,"hv05":0.068,"hv06":0.024,"hv07":0.003,"hv08":-0.035,"hv09":-0.051,"hv10":0,"hv11":-0.034,"hv12":0.011,"hv13":-0.009,"hv14":0.035,"hv15":0.036,"hv16":0.071,"hv17":0.068},"geometry":{"type":"Polygon","coordinates":[[[-85.990061,41.759724],[-84.807042,41.759724],[-84.807042,41.694001],[-84.801565,40.500028],[-84.817996,39.103408],[-84.894673,39.059592],[-84.812519,38.785745],[-84.987781,38.780268],[-85.173997,38.68716],[-85.431413,38.730976],[-85.42046,38.533806],[-85.590245,38.451652],[-85.655968,38.325682],[-85.83123,38.27639],[-85.924338,38.024451],[-86.039354,37.958727],[-86.263908,38.051835],[-86.302247,38.166851],[-86.521325,38.040881],[-86.504894,37.931343],[-86.729448,37.893004],[-86.795172,37.991589],[-87.047111,37.893004],[-87.129265,37.788942],[-87.381204,37.93682],[-87.512651,37.903958],[-87.600282,37.975158],[-87.682436,37.903958],[-87.934375,37.893004],[-88.027483,37.799896],[-88.060345,37.865619],[-88.000098,38.101128],[-87.923421,38.15042],[-87.950806,38.27639],[-87.83579,38.292821],[-87.655051,38.506421],[-87.62219,38.637868],[-87.49622,38.780268],[-87.512651,38.95553],[-87.63862,39.169131],[-87.529082,39.34987],[-87.523605,41.710431],[-87.42502,41.644708],[-87.118311,41.644708],[-86.822556,41.759724],[-85.990061,41.759724]]]}},</v>
      </c>
    </row>
    <row r="17" spans="1:24" x14ac:dyDescent="0.3">
      <c r="A17" t="s">
        <v>295</v>
      </c>
      <c r="B17" t="s">
        <v>257</v>
      </c>
      <c r="C17" t="str">
        <f t="shared" si="3"/>
        <v>"housevalue":140500}</v>
      </c>
      <c r="D17" t="str">
        <f t="shared" ca="1" si="6"/>
        <v>"hv01":0.043,</v>
      </c>
      <c r="E17" t="str">
        <f t="shared" ca="1" si="6"/>
        <v>"hv02":0.05,</v>
      </c>
      <c r="F17" t="str">
        <f t="shared" ca="1" si="6"/>
        <v>"hv03":0.04,</v>
      </c>
      <c r="G17" t="str">
        <f t="shared" ca="1" si="6"/>
        <v>"hv04":0.063,</v>
      </c>
      <c r="H17" t="str">
        <f t="shared" ca="1" si="6"/>
        <v>"hv05":0.05,</v>
      </c>
      <c r="I17" t="str">
        <f t="shared" ca="1" si="6"/>
        <v>"hv06":0.038,</v>
      </c>
      <c r="J17" t="str">
        <f t="shared" ca="1" si="6"/>
        <v>"hv07":0.024,</v>
      </c>
      <c r="K17" t="str">
        <f t="shared" ca="1" si="6"/>
        <v>"hv08":-0.003,</v>
      </c>
      <c r="L17" t="str">
        <f t="shared" ca="1" si="6"/>
        <v>"hv09":0.005,</v>
      </c>
      <c r="M17" t="str">
        <f t="shared" ca="1" si="6"/>
        <v>"hv10":0.001,</v>
      </c>
      <c r="N17" t="str">
        <f t="shared" ca="1" si="6"/>
        <v>"hv11":-0.008,</v>
      </c>
      <c r="O17" t="str">
        <f t="shared" ca="1" si="6"/>
        <v>"hv12":0.022,</v>
      </c>
      <c r="P17" t="str">
        <f t="shared" ca="1" si="6"/>
        <v>"hv13":0.028,</v>
      </c>
      <c r="Q17" t="str">
        <f t="shared" ca="1" si="6"/>
        <v>"hv14":0.035,</v>
      </c>
      <c r="R17" t="str">
        <f t="shared" ca="1" si="6"/>
        <v>"hv15":0.042,</v>
      </c>
      <c r="S17" t="str">
        <f t="shared" ca="1" si="6"/>
        <v>"hv16":0.041,</v>
      </c>
      <c r="T17" t="str">
        <f t="shared" ca="1" si="2"/>
        <v>"hv17":0.053}</v>
      </c>
      <c r="U17" t="str">
        <f t="shared" ca="1" si="5"/>
        <v>"hv01":0.043,"hv02":0.05,"hv03":0.04,"hv04":0.063,"hv05":0.05,"hv06":0.038,"hv07":0.024,"hv08":-0.003,"hv09":0.005,"hv10":0.001,"hv11":-0.008,"hv12":0.022,"hv13":0.028,"hv14":0.035,"hv15":0.042,"hv16":0.041,"hv17":0.053}</v>
      </c>
      <c r="V17" t="s">
        <v>404</v>
      </c>
      <c r="X17" s="4" t="str">
        <f t="shared" si="4"/>
        <v xml:space="preserve">    {"type":"Feature","id":"19","properties":{"name":"Iowa","hv01":0.043,"hv02":0.05,"hv03":0.04,"hv04":0.063,"hv05":0.05,"hv06":0.038,"hv07":0.024,"hv08":-0.003,"hv09":0.005,"hv10":0.001,"hv11":-0.008,"hv12":0.022,"hv13":0.028,"hv14":0.035,"hv15":0.042,"hv16":0.041,"hv17":0.053},"geometry":{"type":"Polygon","coordinates":[[[-91.368417,43.501391],[-91.215062,43.501391],[-91.204109,43.353514],[-91.056231,43.254929],[-91.176724,43.134436],[-91.143862,42.909881],[-91.067185,42.75105],[-90.711184,42.636034],[-90.639984,42.510065],[-90.420906,42.329326],[-90.393521,42.225264],[-90.168967,42.126679],[-90.141582,42.000709],[-90.179921,41.809016],[-90.311367,41.743293],[-90.344229,41.589939],[-90.656414,41.463969],[-91.045277,41.414677],[-91.111001,41.239415],[-90.946692,41.097014],[-90.963123,40.921752],[-91.09457,40.823167],[-91.121954,40.669813],[-91.401278,40.560274],[-91.417709,40.379535],[-91.527248,40.412397],[-91.729895,40.615043],[-91.833957,40.609566],[-93.257961,40.582182],[-94.632673,40.571228],[-95.7664,40.587659],[-95.881416,40.719105],[-95.826646,40.976521],[-95.925231,41.201076],[-95.919754,41.453015],[-96.095016,41.540646],[-96.122401,41.67757],[-96.062155,41.798063],[-96.127878,41.973325],[-96.264801,42.039048],[-96.44554,42.488157],[-96.631756,42.707235],[-96.544125,42.855112],[-96.511264,43.052282],[-96.434587,43.123482],[-96.560556,43.222067],[-96.527695,43.397329],[-96.582464,43.479483],[-96.451017,43.501391],[-91.368417,43.501391]]]}},</v>
      </c>
    </row>
    <row r="18" spans="1:24" x14ac:dyDescent="0.3">
      <c r="A18" t="s">
        <v>296</v>
      </c>
      <c r="B18" t="s">
        <v>260</v>
      </c>
      <c r="C18" t="str">
        <f t="shared" si="3"/>
        <v>"housevalue":136800}</v>
      </c>
      <c r="D18" t="str">
        <f t="shared" ca="1" si="6"/>
        <v>"hv01":0.06,</v>
      </c>
      <c r="E18" t="str">
        <f t="shared" ca="1" si="6"/>
        <v>"hv02":0.016,</v>
      </c>
      <c r="F18" t="str">
        <f t="shared" ca="1" si="6"/>
        <v>"hv03":0.033,</v>
      </c>
      <c r="G18" t="str">
        <f t="shared" ca="1" si="6"/>
        <v>"hv04":0.087,</v>
      </c>
      <c r="H18" t="str">
        <f t="shared" ca="1" si="6"/>
        <v>"hv05":0.004,</v>
      </c>
      <c r="I18" t="str">
        <f t="shared" ca="1" si="6"/>
        <v>"hv06":0.029,</v>
      </c>
      <c r="J18" t="str">
        <f t="shared" ca="1" si="6"/>
        <v>"hv07":0.035,</v>
      </c>
      <c r="K18" t="str">
        <f t="shared" ca="1" si="6"/>
        <v>"hv08":-0.022,</v>
      </c>
      <c r="L18" t="str">
        <f t="shared" ca="1" si="6"/>
        <v>"hv09":-0.014,</v>
      </c>
      <c r="M18" t="str">
        <f t="shared" ca="1" si="6"/>
        <v>"hv10":-0.014,</v>
      </c>
      <c r="N18" t="str">
        <f t="shared" ca="1" si="6"/>
        <v>"hv11":-0.041,</v>
      </c>
      <c r="O18" t="str">
        <f t="shared" ca="1" si="6"/>
        <v>"hv12":0.002,</v>
      </c>
      <c r="P18" t="str">
        <f t="shared" ca="1" si="6"/>
        <v>"hv13":0.017,</v>
      </c>
      <c r="Q18" t="str">
        <f t="shared" ca="1" si="6"/>
        <v>"hv14":0.027,</v>
      </c>
      <c r="R18" t="str">
        <f t="shared" ca="1" si="6"/>
        <v>"hv15":0.028,</v>
      </c>
      <c r="S18" t="str">
        <f t="shared" ca="1" si="6"/>
        <v>"hv16":0.066,</v>
      </c>
      <c r="T18" t="str">
        <f t="shared" ca="1" si="2"/>
        <v>"hv17":0.054}</v>
      </c>
      <c r="U18" t="str">
        <f t="shared" ca="1" si="5"/>
        <v>"hv01":0.06,"hv02":0.016,"hv03":0.033,"hv04":0.087,"hv05":0.004,"hv06":0.029,"hv07":0.035,"hv08":-0.022,"hv09":-0.014,"hv10":-0.014,"hv11":-0.041,"hv12":0.002,"hv13":0.017,"hv14":0.027,"hv15":0.028,"hv16":0.066,"hv17":0.054}</v>
      </c>
      <c r="V18" t="s">
        <v>405</v>
      </c>
      <c r="X18" s="4" t="str">
        <f t="shared" si="4"/>
        <v xml:space="preserve">    {"type":"Feature","id":"20","properties":{"name":"Kansas","hv01":0.06,"hv02":0.016,"hv03":0.033,"hv04":0.087,"hv05":0.004,"hv06":0.029,"hv07":0.035,"hv08":-0.022,"hv09":-0.014,"hv10":-0.014,"hv11":-0.041,"hv12":0.002,"hv13":0.017,"hv14":0.027,"hv15":0.028,"hv16":0.066,"hv17":0.054},"geometry":{"type":"Polygon","coordinates":[[[-101.90605,40.001626],[-95.306337,40.001626],[-95.207752,39.908518],[-94.884612,39.831841],[-95.109167,39.541563],[-94.983197,39.442978],[-94.824366,39.20747],[-94.610765,39.158177],[-94.616242,37.000263],[-100.087706,37.000263],[-102.042974,36.994786],[-102.053927,40.001626],[-101.90605,40.001626]]]}},</v>
      </c>
    </row>
    <row r="19" spans="1:24" x14ac:dyDescent="0.3">
      <c r="A19" t="s">
        <v>297</v>
      </c>
      <c r="B19" t="s">
        <v>253</v>
      </c>
      <c r="C19" t="str">
        <f t="shared" si="3"/>
        <v>"housevalue":141600}</v>
      </c>
      <c r="D19" t="str">
        <f t="shared" ca="1" si="6"/>
        <v>"hv01":0.056,</v>
      </c>
      <c r="E19" t="str">
        <f t="shared" ca="1" si="6"/>
        <v>"hv02":0.055,</v>
      </c>
      <c r="F19" t="str">
        <f t="shared" ca="1" si="6"/>
        <v>"hv03":0.048,</v>
      </c>
      <c r="G19" t="str">
        <f t="shared" ca="1" si="6"/>
        <v>"hv04":0.048,</v>
      </c>
      <c r="H19" t="str">
        <f t="shared" ca="1" si="6"/>
        <v>"hv05":0.016,</v>
      </c>
      <c r="I19" t="str">
        <f t="shared" ca="1" si="6"/>
        <v>"hv06":0.05,</v>
      </c>
      <c r="J19" t="str">
        <f t="shared" ca="1" si="6"/>
        <v>"hv07":-0.009,</v>
      </c>
      <c r="K19" t="str">
        <f t="shared" ca="1" si="6"/>
        <v>"hv08":-0.014,</v>
      </c>
      <c r="L19" t="str">
        <f t="shared" ca="1" si="6"/>
        <v>"hv09":-0.01,</v>
      </c>
      <c r="M19" t="str">
        <f t="shared" ca="1" si="6"/>
        <v>"hv10":0.015,</v>
      </c>
      <c r="N19" t="str">
        <f t="shared" ca="1" si="6"/>
        <v>"hv11":-0.034,</v>
      </c>
      <c r="O19" t="str">
        <f t="shared" ca="1" si="6"/>
        <v>"hv12":0.004,</v>
      </c>
      <c r="P19" t="str">
        <f t="shared" ca="1" si="6"/>
        <v>"hv13":0.013,</v>
      </c>
      <c r="Q19" t="str">
        <f t="shared" ca="1" si="6"/>
        <v>"hv14":0.02,</v>
      </c>
      <c r="R19" t="str">
        <f t="shared" ca="1" si="6"/>
        <v>"hv15":0.044,</v>
      </c>
      <c r="S19" t="str">
        <f t="shared" ca="1" si="6"/>
        <v>"hv16":0.057,</v>
      </c>
      <c r="T19" t="str">
        <f t="shared" ca="1" si="2"/>
        <v>"hv17":0.066}</v>
      </c>
      <c r="U19" t="str">
        <f t="shared" ca="1" si="5"/>
        <v>"hv01":0.056,"hv02":0.055,"hv03":0.048,"hv04":0.048,"hv05":0.016,"hv06":0.05,"hv07":-0.009,"hv08":-0.014,"hv09":-0.01,"hv10":0.015,"hv11":-0.034,"hv12":0.004,"hv13":0.013,"hv14":0.02,"hv15":0.044,"hv16":0.057,"hv17":0.066}</v>
      </c>
      <c r="V19" t="s">
        <v>406</v>
      </c>
      <c r="X19" s="4" t="str">
        <f t="shared" si="4"/>
        <v xml:space="preserve">    {"type":"Feature","id":"21","properties":{"name":"Kentucky","hv01":0.056,"hv02":0.055,"hv03":0.048,"hv04":0.048,"hv05":0.016,"hv06":0.05,"hv07":-0.009,"hv08":-0.014,"hv09":-0.01,"hv10":0.015,"hv11":-0.034,"hv12":0.004,"hv13":0.013,"hv14":0.02,"hv15":0.044,"hv16":0.057,"hv17":0.066},"geometry":{"type":"Polygon","coordinates":[[[-83.903347,38.769315],[-83.678792,38.632391],[-83.519961,38.703591],[-83.142052,38.626914],[-83.032514,38.725499],[-82.890113,38.758361],[-82.846298,38.588575],[-82.731282,38.561191],[-82.594358,38.424267],[-82.621743,38.123036],[-82.50125,37.931343],[-82.342419,37.783465],[-82.293127,37.668449],[-82.101434,37.553434],[-81.969987,37.537003],[-82.353373,37.268633],[-82.720328,37.120755],[-82.720328,37.044078],[-82.868205,36.978355],[-82.879159,36.890724],[-83.070852,36.852385],[-83.136575,36.742847],[-83.673316,36.600446],[-83.689746,36.584015],[-84.544149,36.594969],[-85.289013,36.627831],[-85.486183,36.616877],[-86.592525,36.655216],[-87.852221,36.633308],[-88.071299,36.677123],[-88.054868,36.496384],[-89.298133,36.507338],[-89.418626,36.496384],[-89.363857,36.622354],[-89.215979,36.578538],[-89.133825,36.983832],[-89.183118,37.038601],[-89.029763,37.213863],[-88.914747,37.224817],[-88.547792,37.071463],[-88.421823,37.153617],[-88.514931,37.285064],[-88.476592,37.389126],[-88.065822,37.482234],[-88.15893,37.657496],[-88.027483,37.799896],[-87.934375,37.893004],[-87.682436,37.903958],[-87.600282,37.975158],[-87.512651,37.903958],[-87.381204,37.93682],[-87.129265,37.788942],[-87.047111,37.893004],[-86.795172,37.991589],[-86.729448,37.893004],[-86.504894,37.931343],[-86.521325,38.040881],[-86.302247,38.166851],[-86.263908,38.051835],[-86.039354,37.958727],[-85.924338,38.024451],[-85.83123,38.27639],[-85.655968,38.325682],[-85.590245,38.451652],[-85.42046,38.533806],[-85.431413,38.730976],[-85.173997,38.68716],[-84.987781,38.780268],[-84.812519,38.785745],[-84.894673,39.059592],[-84.817996,39.103408],[-84.43461,39.103408],[-84.231963,38.895284],[-84.215533,38.807653],[-83.903347,38.769315]]]}},</v>
      </c>
    </row>
    <row r="20" spans="1:24" x14ac:dyDescent="0.3">
      <c r="A20" t="s">
        <v>298</v>
      </c>
      <c r="B20" t="s">
        <v>252</v>
      </c>
      <c r="C20" t="str">
        <f t="shared" si="3"/>
        <v>"housevalue":146100}</v>
      </c>
      <c r="D20" t="str">
        <f t="shared" ca="1" si="6"/>
        <v>"hv01":-0.051,</v>
      </c>
      <c r="E20" t="str">
        <f t="shared" ca="1" si="6"/>
        <v>"hv02":0.03,</v>
      </c>
      <c r="F20" t="str">
        <f t="shared" ca="1" si="6"/>
        <v>"hv03":0.076,</v>
      </c>
      <c r="G20" t="str">
        <f t="shared" ca="1" si="6"/>
        <v>"hv04":0.055,</v>
      </c>
      <c r="H20" t="str">
        <f t="shared" ca="1" si="6"/>
        <v>"hv05":0.071,</v>
      </c>
      <c r="I20" t="str">
        <f t="shared" ca="1" si="6"/>
        <v>"hv06":0.065,</v>
      </c>
      <c r="J20" t="str">
        <f t="shared" ca="1" si="6"/>
        <v>"hv07":0.041,</v>
      </c>
      <c r="K20" t="str">
        <f t="shared" ca="1" si="6"/>
        <v>"hv08":0.007,</v>
      </c>
      <c r="L20" t="str">
        <f t="shared" ca="1" si="6"/>
        <v>"hv09":0.006,</v>
      </c>
      <c r="M20" t="str">
        <f t="shared" ca="1" si="6"/>
        <v>"hv10":-0.012,</v>
      </c>
      <c r="N20" t="str">
        <f t="shared" ca="1" si="6"/>
        <v>"hv11":-0.041,</v>
      </c>
      <c r="O20" t="str">
        <f t="shared" ca="1" si="6"/>
        <v>"hv12":0.002,</v>
      </c>
      <c r="P20" t="str">
        <f t="shared" ca="1" si="6"/>
        <v>"hv13":0.025,</v>
      </c>
      <c r="Q20" t="str">
        <f t="shared" ca="1" si="6"/>
        <v>"hv14":0.027,</v>
      </c>
      <c r="R20" t="str">
        <f t="shared" ca="1" si="6"/>
        <v>"hv15":0.032,</v>
      </c>
      <c r="S20" t="str">
        <f t="shared" ca="1" si="6"/>
        <v>"hv16":0.063,</v>
      </c>
      <c r="T20" t="str">
        <f t="shared" ca="1" si="2"/>
        <v>"hv17":0.035}</v>
      </c>
      <c r="U20" t="str">
        <f t="shared" ca="1" si="5"/>
        <v>"hv01":-0.051,"hv02":0.03,"hv03":0.076,"hv04":0.055,"hv05":0.071,"hv06":0.065,"hv07":0.041,"hv08":0.007,"hv09":0.006,"hv10":-0.012,"hv11":-0.041,"hv12":0.002,"hv13":0.025,"hv14":0.027,"hv15":0.032,"hv16":0.063,"hv17":0.035}</v>
      </c>
      <c r="V20" t="s">
        <v>407</v>
      </c>
      <c r="X20" s="4" t="str">
        <f t="shared" si="4"/>
        <v xml:space="preserve">    {"type":"Feature","id":"22","properties":{"name":"Louisiana","hv01":-0.051,"hv02":0.03,"hv03":0.076,"hv04":0.055,"hv05":0.071,"hv06":0.065,"hv07":0.041,"hv08":0.007,"hv09":0.006,"hv10":-0.012,"hv11":-0.041,"hv12":0.002,"hv13":0.025,"hv14":0.027,"hv15":0.032,"hv16":0.063,"hv17":0.035},"geometry":{"type":"Polygon","coordinates":[[[-93.608485,33.018527],[-91.16577,33.002096],[-91.072662,32.887081],[-91.143862,32.843265],[-91.154816,32.640618],[-91.006939,32.514649],[-90.985031,32.218894],[-91.105524,31.988862],[-91.341032,31.846462],[-91.401278,31.621907],[-91.499863,31.643815],[-91.516294,31.27686],[-91.636787,31.265906],[-91.565587,31.068736],[-91.636787,30.997536],[-89.747242,30.997536],[-89.845827,30.66892],[-89.681519,30.449842],[-89.643181,30.285534],[-89.522688,30.181472],[-89.818443,30.044549],[-89.84035,29.945964],[-89.599365,29.88024],[-89.495303,30.039072],[-89.287179,29.88024],[-89.30361,29.754271],[-89.424103,29.699501],[-89.648657,29.748794],[-89.621273,29.655686],[-89.69795,29.513285],[-89.506257,29.387316],[-89.199548,29.348977],[-89.09001,29.2011],[-89.002379,29.179192],[-89.16121,29.009407],[-89.336472,29.042268],[-89.484349,29.217531],[-89.851304,29.310638],[-89.851304,29.480424],[-90.032043,29.425654],[-90.021089,29.283254],[-90.103244,29.151807],[-90.23469,29.129899],[-90.333275,29.277777],[-90.563307,29.283254],[-90.645461,29.129899],[-90.798815,29.086084],[-90.963123,29.179192],[-91.09457,29.190146],[-91.220539,29.436608],[-91.445094,29.546147],[-91.532725,29.529716],[-91.620356,29.73784],[-91.883249,29.710455],[-91.888726,29.836425],[-92.146142,29.715932],[-92.113281,29.622824],[-92.31045,29.535193],[-92.617159,29.579009],[-92.97316,29.715932],[-93.2251,29.776178],[-93.767317,29.726886],[-93.838517,29.688547],[-93.926148,29.787132],[-93.690639,30.143133],[-93.767317,30.334826],[-93.696116,30.438888],[-93.728978,30.575812],[-93.630393,30.679874],[-93.526331,30.93729],[-93.542762,31.15089],[-93.816609,31.556184],[-93.822086,31.775262],[-94.041164,31.994339],[-94.041164,33.018527],[-93.608485,33.018527]]]}},</v>
      </c>
    </row>
    <row r="21" spans="1:24" x14ac:dyDescent="0.3">
      <c r="A21" t="s">
        <v>299</v>
      </c>
      <c r="B21" t="s">
        <v>268</v>
      </c>
      <c r="C21" t="str">
        <f t="shared" si="3"/>
        <v>"housevalue":228400}</v>
      </c>
      <c r="D21" t="str">
        <f t="shared" ca="1" si="6"/>
        <v>"hv01":0.127,</v>
      </c>
      <c r="E21" t="str">
        <f t="shared" ca="1" si="6"/>
        <v>"hv02":0.109,</v>
      </c>
      <c r="F21" t="str">
        <f t="shared" ca="1" si="6"/>
        <v>"hv03":0.133,</v>
      </c>
      <c r="G21" t="str">
        <f t="shared" ca="1" si="6"/>
        <v>"hv04":0.134,</v>
      </c>
      <c r="H21" t="str">
        <f t="shared" ca="1" si="6"/>
        <v>"hv05":0.081,</v>
      </c>
      <c r="I21" t="str">
        <f t="shared" ca="1" si="6"/>
        <v>"hv06":-0.008,</v>
      </c>
      <c r="J21" t="str">
        <f t="shared" ca="1" si="6"/>
        <v>"hv07":-0.011,</v>
      </c>
      <c r="K21" t="str">
        <f t="shared" ca="1" si="6"/>
        <v>"hv08":-0.103,</v>
      </c>
      <c r="L21" t="str">
        <f t="shared" ca="1" si="6"/>
        <v>"hv09":-0.032,</v>
      </c>
      <c r="M21" t="str">
        <f t="shared" ca="1" si="6"/>
        <v>"hv10":0.017,</v>
      </c>
      <c r="N21" t="str">
        <f t="shared" ca="1" si="6"/>
        <v>"hv11":-0.037,</v>
      </c>
      <c r="O21" t="str">
        <f t="shared" ca="1" si="6"/>
        <v>"hv12":0.029,</v>
      </c>
      <c r="P21" t="str">
        <f t="shared" ca="1" si="6"/>
        <v>"hv13":0.021,</v>
      </c>
      <c r="Q21" t="str">
        <f t="shared" ca="1" si="6"/>
        <v>"hv14":0.033,</v>
      </c>
      <c r="R21" t="str">
        <f t="shared" ca="1" si="6"/>
        <v>"hv15":0.026,</v>
      </c>
      <c r="S21" t="str">
        <f t="shared" ca="1" si="6"/>
        <v>"hv16":0.076,</v>
      </c>
      <c r="T21" t="str">
        <f t="shared" ca="1" si="2"/>
        <v>"hv17":0.074}</v>
      </c>
      <c r="U21" t="str">
        <f t="shared" ca="1" si="5"/>
        <v>"hv01":0.127,"hv02":0.109,"hv03":0.133,"hv04":0.134,"hv05":0.081,"hv06":-0.008,"hv07":-0.011,"hv08":-0.103,"hv09":-0.032,"hv10":0.017,"hv11":-0.037,"hv12":0.029,"hv13":0.021,"hv14":0.033,"hv15":0.026,"hv16":0.076,"hv17":0.074}</v>
      </c>
      <c r="V21" t="s">
        <v>408</v>
      </c>
      <c r="X21" s="4" t="str">
        <f t="shared" si="4"/>
        <v xml:space="preserve">    {"type":"Feature","id":"23","properties":{"name":"Maine","hv01":0.127,"hv02":0.109,"hv03":0.133,"hv04":0.134,"hv05":0.081,"hv06":-0.008,"hv07":-0.011,"hv08":-0.103,"hv09":-0.032,"hv10":0.017,"hv11":-0.037,"hv12":0.029,"hv13":0.021,"hv14":0.033,"hv15":0.026,"hv16":0.076,"hv17":0.074},"geometry":{"type":"Polygon","coordinates":[[[-70.703921,43.057759],[-70.824413,43.128959],[-70.807983,43.227544],[-70.966814,43.34256],[-71.032537,44.657025],[-71.08183,45.303304],[-70.649151,45.440228],[-70.720352,45.511428],[-70.556043,45.664782],[-70.386258,45.735983],[-70.41912,45.796229],[-70.260289,45.889337],[-70.309581,46.064599],[-70.210996,46.327492],[-70.057642,46.415123],[-69.997395,46.694447],[-69.225147,47.461219],[-69.044408,47.428357],[-69.033454,47.242141],[-68.902007,47.176418],[-68.578868,47.285957],[-68.376221,47.285957],[-68.233821,47.357157],[-67.954497,47.198326],[-67.790188,47.066879],[-67.779235,45.944106],[-67.801142,45.675736],[-67.456095,45.604536],[-67.505388,45.48952],[-67.417757,45.379982],[-67.488957,45.281397],[-67.346556,45.128042],[-67.16034,45.160904],[-66.979601,44.804903],[-67.187725,44.646072],[-67.308218,44.706318],[-67.406803,44.596779],[-67.549203,44.624164],[-67.565634,44.531056],[-67.75185,44.54201],[-68.047605,44.328409],[-68.118805,44.476286],[-68.222867,44.48724],[-68.173574,44.328409],[-68.403606,44.251732],[-68.458375,44.377701],[-68.567914,44.311978],[-68.82533,44.311978],[-68.830807,44.459856],[-68.984161,44.426994],[-68.956777,44.322932],[-69.099177,44.103854],[-69.071793,44.043608],[-69.258008,43.923115],[-69.444224,43.966931],[-69.553763,43.840961],[-69.707118,43.82453],[-69.833087,43.720469],[-69.986442,43.742376],[-70.030257,43.851915],[-70.254812,43.676653],[-70.194565,43.567114],[-70.358873,43.528776],[-70.369827,43.435668],[-70.556043,43.320652],[-70.703921,43.057759]]]}},</v>
      </c>
    </row>
    <row r="22" spans="1:24" x14ac:dyDescent="0.3">
      <c r="A22" t="s">
        <v>300</v>
      </c>
      <c r="B22" t="s">
        <v>246</v>
      </c>
      <c r="C22" t="str">
        <f t="shared" si="3"/>
        <v>"housevalue":285400}</v>
      </c>
      <c r="D22" t="str">
        <f t="shared" ref="D22:S31" ca="1" si="7">CHAR(34)&amp;D$56&amp;CHAR(34)&amp;":"&amp;INDIRECT("HV_PCT_CHG!"&amp;D$1&amp;ROW($A22))&amp;","</f>
        <v>"hv01":0.089,</v>
      </c>
      <c r="E22" t="str">
        <f t="shared" ca="1" si="7"/>
        <v>"hv02":0.139,</v>
      </c>
      <c r="F22" t="str">
        <f t="shared" ca="1" si="7"/>
        <v>"hv03":0.169,</v>
      </c>
      <c r="G22" t="str">
        <f t="shared" ca="1" si="7"/>
        <v>"hv04":0.246,</v>
      </c>
      <c r="H22" t="str">
        <f t="shared" ca="1" si="7"/>
        <v>"hv05":0.201,</v>
      </c>
      <c r="I22" t="str">
        <f t="shared" ca="1" si="7"/>
        <v>"hv06":0.056,</v>
      </c>
      <c r="J22" t="str">
        <f t="shared" ca="1" si="7"/>
        <v>"hv07":-0.053,</v>
      </c>
      <c r="K22" t="str">
        <f t="shared" ca="1" si="7"/>
        <v>"hv08":-0.121,</v>
      </c>
      <c r="L22" t="str">
        <f t="shared" ca="1" si="7"/>
        <v>"hv09":-0.098,</v>
      </c>
      <c r="M22" t="str">
        <f t="shared" ca="1" si="7"/>
        <v>"hv10":-0.056,</v>
      </c>
      <c r="N22" t="str">
        <f t="shared" ca="1" si="7"/>
        <v>"hv11":-0.065,</v>
      </c>
      <c r="O22" t="str">
        <f t="shared" ca="1" si="7"/>
        <v>"hv12":0.031,</v>
      </c>
      <c r="P22" t="str">
        <f t="shared" ca="1" si="7"/>
        <v>"hv13":0.055,</v>
      </c>
      <c r="Q22" t="str">
        <f t="shared" ca="1" si="7"/>
        <v>"hv14":0.025,</v>
      </c>
      <c r="R22" t="str">
        <f t="shared" ca="1" si="7"/>
        <v>"hv15":0.021,</v>
      </c>
      <c r="S22" t="str">
        <f t="shared" ca="1" si="7"/>
        <v>"hv16":0.048,</v>
      </c>
      <c r="T22" t="str">
        <f t="shared" ca="1" si="2"/>
        <v>"hv17":0.041}</v>
      </c>
      <c r="U22" t="str">
        <f t="shared" ca="1" si="5"/>
        <v>"hv01":0.089,"hv02":0.139,"hv03":0.169,"hv04":0.246,"hv05":0.201,"hv06":0.056,"hv07":-0.053,"hv08":-0.121,"hv09":-0.098,"hv10":-0.056,"hv11":-0.065,"hv12":0.031,"hv13":0.055,"hv14":0.025,"hv15":0.021,"hv16":0.048,"hv17":0.041}</v>
      </c>
      <c r="V22" t="s">
        <v>409</v>
      </c>
      <c r="X22" s="4" t="str">
        <f t="shared" si="4"/>
        <v xml:space="preserve">    {"type":"Feature","id":"24","properties":{"name":"Maryland","hv01":0.089,"hv02":0.139,"hv03":0.169,"hv04":0.246,"hv05":0.201,"hv06":0.056,"hv07":-0.053,"hv08":-0.121,"hv09":-0.098,"hv10":-0.056,"hv11":-0.065,"hv12":0.031,"hv13":0.055,"hv14":0.025,"hv15":0.021,"hv16":0.048,"hv17":0.041},"geometry":{"type":"MultiPolygon","coordinates":[[[[-75.994645,37.95325],[-76.016553,37.95325],[-76.043938,37.95325],[-75.994645,37.95325]]],[[[-79.477979,39.722302],[-75.786521,39.722302],[-75.693413,38.462606],[-75.047134,38.451652],[-75.244304,38.029928],[-75.397659,38.013497],[-75.671506,37.95325],[-75.885106,37.909435],[-75.879629,38.073743],[-75.961783,38.139466],[-75.846768,38.210667],[-76.000122,38.374975],[-76.049415,38.303775],[-76.257538,38.320205],[-76.328738,38.500944],[-76.263015,38.500944],[-76.257538,38.736453],[-76.191815,38.829561],[-76.279446,39.147223],[-76.169907,39.333439],[-76.000122,39.366301],[-75.972737,39.557994],[-76.098707,39.536086],[-76.104184,39.437501],[-76.367077,39.311532],[-76.443754,39.196516],[-76.460185,38.906238],[-76.55877,38.769315],[-76.514954,38.539283],[-76.383508,38.380452],[-76.399939,38.259959],[-76.317785,38.139466],[-76.3616,38.057312],[-76.591632,38.216144],[-76.920248,38.292821],[-77.018833,38.446175],[-77.205049,38.358544],[-77.276249,38.479037],[-77.128372,38.632391],[-77.040741,38.791222],[-76.909294,38.895284],[-77.035264,38.993869],[-77.117418,38.933623],[-77.248864,39.026731],[-77.456988,39.076023],[-77.456988,39.223901],[-77.566527,39.306055],[-77.719881,39.322485],[-77.834897,39.601809],[-78.004682,39.601809],[-78.174467,39.694917],[-78.267575,39.61824],[-78.431884,39.623717],[-78.470222,39.514178],[-78.765977,39.585379],[-78.963147,39.437501],[-79.094593,39.470363],[-79.291763,39.300578],[-79.488933,39.20747],[-79.477979,39.722302]]]]}},</v>
      </c>
    </row>
    <row r="23" spans="1:24" x14ac:dyDescent="0.3">
      <c r="A23" t="s">
        <v>301</v>
      </c>
      <c r="B23" t="s">
        <v>241</v>
      </c>
      <c r="C23" t="str">
        <f t="shared" si="3"/>
        <v>"housevalue":401500}</v>
      </c>
      <c r="D23" t="str">
        <f t="shared" ca="1" si="7"/>
        <v>"hv01":0.162,</v>
      </c>
      <c r="E23" t="str">
        <f t="shared" ca="1" si="7"/>
        <v>"hv02":0.136,</v>
      </c>
      <c r="F23" t="str">
        <f t="shared" ca="1" si="7"/>
        <v>"hv03":0.101,</v>
      </c>
      <c r="G23" t="str">
        <f t="shared" ca="1" si="7"/>
        <v>"hv04":0.099,</v>
      </c>
      <c r="H23" t="str">
        <f t="shared" ca="1" si="7"/>
        <v>"hv05":0.035,</v>
      </c>
      <c r="I23" t="str">
        <f t="shared" ca="1" si="7"/>
        <v>"hv06":-0.053,</v>
      </c>
      <c r="J23" t="str">
        <f t="shared" ca="1" si="7"/>
        <v>"hv07":-0.048,</v>
      </c>
      <c r="K23" t="str">
        <f t="shared" ca="1" si="7"/>
        <v>"hv08":-0.072,</v>
      </c>
      <c r="L23" t="str">
        <f t="shared" ca="1" si="7"/>
        <v>"hv09":-0.027,</v>
      </c>
      <c r="M23" t="str">
        <f t="shared" ca="1" si="7"/>
        <v>"hv10":-0.015,</v>
      </c>
      <c r="N23" t="str">
        <f t="shared" ca="1" si="7"/>
        <v>"hv11":-0.04,</v>
      </c>
      <c r="O23" t="str">
        <f t="shared" ca="1" si="7"/>
        <v>"hv12":0.028,</v>
      </c>
      <c r="P23" t="str">
        <f t="shared" ca="1" si="7"/>
        <v>"hv13":0.074,</v>
      </c>
      <c r="Q23" t="str">
        <f t="shared" ca="1" si="7"/>
        <v>"hv14":0.047,</v>
      </c>
      <c r="R23" t="str">
        <f t="shared" ca="1" si="7"/>
        <v>"hv15":0.044,</v>
      </c>
      <c r="S23" t="str">
        <f t="shared" ca="1" si="7"/>
        <v>"hv16":0.073,</v>
      </c>
      <c r="T23" t="str">
        <f t="shared" ca="1" si="2"/>
        <v>"hv17":0.072}</v>
      </c>
      <c r="U23" t="str">
        <f t="shared" ca="1" si="5"/>
        <v>"hv01":0.162,"hv02":0.136,"hv03":0.101,"hv04":0.099,"hv05":0.035,"hv06":-0.053,"hv07":-0.048,"hv08":-0.072,"hv09":-0.027,"hv10":-0.015,"hv11":-0.04,"hv12":0.028,"hv13":0.074,"hv14":0.047,"hv15":0.044,"hv16":0.073,"hv17":0.072}</v>
      </c>
      <c r="V23" t="s">
        <v>410</v>
      </c>
      <c r="X23" s="4" t="str">
        <f t="shared" si="4"/>
        <v xml:space="preserve">    {"type":"Feature","id":"25","properties":{"name":"Massachusetts","hv01":0.162,"hv02":0.136,"hv03":0.101,"hv04":0.099,"hv05":0.035,"hv06":-0.053,"hv07":-0.048,"hv08":-0.072,"hv09":-0.027,"hv10":-0.015,"hv11":-0.04,"hv12":0.028,"hv13":0.074,"hv14":0.047,"hv15":0.044,"hv16":0.073,"hv17":0.072},"geometry":{"type":"Polygon","coordinates":[[[-70.917521,42.887974],[-70.818936,42.871543],[-70.780598,42.696281],[-70.824413,42.55388],[-70.983245,42.422434],[-70.988722,42.269079],[-70.769644,42.247172],[-70.638197,42.08834],[-70.660105,41.962371],[-70.550566,41.929509],[-70.539613,41.814493],[-70.260289,41.715908],[-69.937149,41.809016],[-70.008349,41.672093],[-70.484843,41.5516],[-70.660105,41.546123],[-70.764167,41.639231],[-70.928475,41.611847],[-70.933952,41.540646],[-71.120168,41.496831],[-71.196845,41.67757],[-71.22423,41.710431],[-71.328292,41.781632],[-71.383061,42.01714],[-71.530939,42.01714],[-71.799309,42.006186],[-71.799309,42.022617],[-73.053528,42.039048],[-73.486206,42.050002],[-73.508114,42.08834],[-73.267129,42.745573],[-72.456542,42.729142],[-71.29543,42.696281],[-71.185891,42.789389],[-70.917521,42.887974]]]}},</v>
      </c>
    </row>
    <row r="24" spans="1:24" x14ac:dyDescent="0.3">
      <c r="A24" t="s">
        <v>302</v>
      </c>
      <c r="B24" t="s">
        <v>235</v>
      </c>
      <c r="C24" t="str">
        <f t="shared" si="3"/>
        <v>"housevalue":146600}</v>
      </c>
      <c r="D24" t="str">
        <f t="shared" ca="1" si="7"/>
        <v>"hv01":0.043,</v>
      </c>
      <c r="E24" t="str">
        <f t="shared" ca="1" si="7"/>
        <v>"hv02":0.051,</v>
      </c>
      <c r="F24" t="str">
        <f t="shared" ca="1" si="7"/>
        <v>"hv03":0.034,</v>
      </c>
      <c r="G24" t="str">
        <f t="shared" ca="1" si="7"/>
        <v>"hv04":0.048,</v>
      </c>
      <c r="H24" t="str">
        <f t="shared" ca="1" si="7"/>
        <v>"hv05":0.029,</v>
      </c>
      <c r="I24" t="str">
        <f t="shared" ca="1" si="7"/>
        <v>"hv06":-0.021,</v>
      </c>
      <c r="J24" t="str">
        <f t="shared" ca="1" si="7"/>
        <v>"hv07":-0.076,</v>
      </c>
      <c r="K24" t="str">
        <f t="shared" ca="1" si="7"/>
        <v>"hv08":-0.138,</v>
      </c>
      <c r="L24" t="str">
        <f t="shared" ca="1" si="7"/>
        <v>"hv09":-0.14,</v>
      </c>
      <c r="M24" t="str">
        <f t="shared" ca="1" si="7"/>
        <v>"hv10":-0.059,</v>
      </c>
      <c r="N24" t="str">
        <f t="shared" ca="1" si="7"/>
        <v>"hv11":-0.055,</v>
      </c>
      <c r="O24" t="str">
        <f t="shared" ca="1" si="7"/>
        <v>"hv12":0.064,</v>
      </c>
      <c r="P24" t="str">
        <f t="shared" ca="1" si="7"/>
        <v>"hv13":0.121,</v>
      </c>
      <c r="Q24" t="str">
        <f t="shared" ca="1" si="7"/>
        <v>"hv14":0.102,</v>
      </c>
      <c r="R24" t="str">
        <f t="shared" ca="1" si="7"/>
        <v>"hv15":0.086,</v>
      </c>
      <c r="S24" t="str">
        <f t="shared" ca="1" si="7"/>
        <v>"hv16":0.089,</v>
      </c>
      <c r="T24" t="str">
        <f t="shared" ca="1" si="2"/>
        <v>"hv17":0.083}</v>
      </c>
      <c r="U24" t="str">
        <f t="shared" ca="1" si="5"/>
        <v>"hv01":0.043,"hv02":0.051,"hv03":0.034,"hv04":0.048,"hv05":0.029,"hv06":-0.021,"hv07":-0.076,"hv08":-0.138,"hv09":-0.14,"hv10":-0.059,"hv11":-0.055,"hv12":0.064,"hv13":0.121,"hv14":0.102,"hv15":0.086,"hv16":0.089,"hv17":0.083}</v>
      </c>
      <c r="V24" t="s">
        <v>411</v>
      </c>
      <c r="X24" s="4" t="str">
        <f t="shared" si="4"/>
        <v xml:space="preserve">    {"type":"Feature","id":"26","properties":{"name":"Michigan","hv01":0.043,"hv02":0.051,"hv03":0.034,"hv04":0.048,"hv05":0.029,"hv06":-0.021,"hv07":-0.076,"hv08":-0.138,"hv09":-0.14,"hv10":-0.059,"hv11":-0.055,"hv12":0.064,"hv13":0.121,"hv14":0.102,"hv15":0.086,"hv16":0.089,"hv17":0.083},"geometry":{"type":"MultiPolygon","coordinates":[[[[-83.454238,41.732339],[-84.807042,41.694001],[-84.807042,41.759724],[-85.990061,41.759724],[-86.822556,41.759724],[-86.619909,41.891171],[-86.482986,42.115725],[-86.357016,42.252649],[-86.263908,42.444341],[-86.209139,42.718189],[-86.231047,43.013943],[-86.526801,43.594499],[-86.433693,43.813577],[-86.499417,44.07647],[-86.269385,44.34484],[-86.220093,44.569394],[-86.252954,44.689887],[-86.088646,44.73918],[-86.066738,44.903488],[-85.809322,44.947303],[-85.612152,45.128042],[-85.628583,44.766564],[-85.524521,44.750133],[-85.393075,44.930872],[-85.387598,45.237581],[-85.305444,45.314258],[-85.031597,45.363551],[-85.119228,45.577151],[-84.938489,45.75789],[-84.713934,45.768844],[-84.461995,45.653829],[-84.215533,45.637398],[-84.09504,45.494997],[-83.908824,45.484043],[-83.596638,45.352597],[-83.4871,45.358074],[-83.317314,45.144473],[-83.454238,45.029457],[-83.322791,44.88158],[-83.273499,44.711795],[-83.333745,44.339363],[-83.536392,44.246255],[-83.585684,44.054562],[-83.82667,43.988839],[-83.958116,43.758807],[-83.908824,43.671176],[-83.667839,43.589022],[-83.481623,43.714992],[-83.262545,43.972408],[-82.917498,44.070993],[-82.747713,43.994316],[-82.643651,43.851915],[-82.539589,43.435668],[-82.523158,43.227544],[-82.413619,42.975605],[-82.517681,42.614127],[-82.681989,42.559357],[-82.687466,42.690804],[-82.797005,42.652465],[-82.922975,42.351234],[-83.125621,42.236218],[-83.185868,42.006186],[-83.437807,41.814493],[-83.454238,41.732339]]],[[[-85.508091,45.730506],[-85.49166,45.610013],[-85.623106,45.588105],[-85.568337,45.75789],[-85.508091,45.730506]]],[[[-87.589328,45.095181],[-87.742682,45.199243],[-87.649574,45.341643],[-87.885083,45.363551],[-87.791975,45.500474],[-87.781021,45.675736],[-87.989145,45.796229],[-88.10416,45.922199],[-88.531362,46.020784],[-88.662808,45.987922],[-89.09001,46.135799],[-90.119674,46.338446],[-90.229213,46.508231],[-90.415429,46.568478],[-90.026566,46.672539],[-89.851304,46.793032],[-89.413149,46.842325],[-89.128348,46.990202],[-88.996902,46.995679],[-88.887363,47.099741],[-88.575177,47.247618],[-88.416346,47.373588],[-88.180837,47.455742],[-87.956283,47.384542],[-88.350623,47.077833],[-88.443731,46.973771],[-88.438254,46.787555],[-88.246561,46.929956],[-87.901513,46.908048],[-87.633143,46.809463],[-87.392158,46.535616],[-87.260711,46.486323],[-87.008772,46.530139],[-86.948526,46.469893],[-86.696587,46.437031],[-86.159846,46.667063],[-85.880522,46.68897],[-85.508091,46.678016],[-85.256151,46.754694],[-85.064458,46.760171],[-85.02612,46.480847],[-84.82895,46.442508],[-84.63178,46.486323],[-84.549626,46.4206],[-84.418179,46.502754],[-84.127902,46.530139],[-84.122425,46.179615],[-83.990978,46.031737],[-83.793808,45.993399],[-83.7719,46.091984],[-83.580208,46.091984],[-83.476146,45.987922],[-83.563777,45.911245],[-84.111471,45.976968],[-84.374364,45.933153],[-84.659165,46.053645],[-84.741319,45.944106],[-84.70298,45.850998],[-84.82895,45.872906],[-85.015166,46.00983],[-85.338305,46.091984],[-85.502614,46.097461],[-85.661445,45.966014],[-85.924338,45.933153],[-86.209139,45.960537],[-86.324155,45.905768],[-86.351539,45.796229],[-86.663725,45.703121],[-86.647294,45.834568],[-86.784218,45.861952],[-86.838987,45.725029],[-87.069019,45.719552],[-87.17308,45.659305],[-87.326435,45.423797],[-87.611236,45.122565],[-87.589328,45.095181]]],[[[-88.805209,47.976051],[-89.057148,47.850082],[-89.188594,47.833651],[-89.177641,47.937713],[-88.547792,48.173221],[-88.668285,48.008913],[-88.805209,47.976051]]]]}},</v>
      </c>
    </row>
    <row r="25" spans="1:24" x14ac:dyDescent="0.3">
      <c r="A25" t="s">
        <v>303</v>
      </c>
      <c r="B25" t="s">
        <v>248</v>
      </c>
      <c r="C25" t="str">
        <f t="shared" si="3"/>
        <v>"housevalue":229200}</v>
      </c>
      <c r="D25" t="str">
        <f t="shared" ca="1" si="7"/>
        <v>"hv01":0.133,</v>
      </c>
      <c r="E25" t="str">
        <f t="shared" ca="1" si="7"/>
        <v>"hv02":0.097,</v>
      </c>
      <c r="F25" t="str">
        <f t="shared" ca="1" si="7"/>
        <v>"hv03":0.082,</v>
      </c>
      <c r="G25" t="str">
        <f t="shared" ca="1" si="7"/>
        <v>"hv04":0.076,</v>
      </c>
      <c r="H25" t="str">
        <f t="shared" ca="1" si="7"/>
        <v>"hv05":0.055,</v>
      </c>
      <c r="I25" t="str">
        <f t="shared" ca="1" si="7"/>
        <v>"hv06":-0.013,</v>
      </c>
      <c r="J25" t="str">
        <f t="shared" ca="1" si="7"/>
        <v>"hv07":-0.043,</v>
      </c>
      <c r="K25" t="str">
        <f t="shared" ca="1" si="7"/>
        <v>"hv08":-0.1,</v>
      </c>
      <c r="L25" t="str">
        <f t="shared" ca="1" si="7"/>
        <v>"hv09":-0.062,</v>
      </c>
      <c r="M25" t="str">
        <f t="shared" ca="1" si="7"/>
        <v>"hv10":-0.055,</v>
      </c>
      <c r="N25" t="str">
        <f t="shared" ca="1" si="7"/>
        <v>"hv11":-0.065,</v>
      </c>
      <c r="O25" t="str">
        <f t="shared" ca="1" si="7"/>
        <v>"hv12":0.054,</v>
      </c>
      <c r="P25" t="str">
        <f t="shared" ca="1" si="7"/>
        <v>"hv13":0.088,</v>
      </c>
      <c r="Q25" t="str">
        <f t="shared" ca="1" si="7"/>
        <v>"hv14":0.045,</v>
      </c>
      <c r="R25" t="str">
        <f t="shared" ca="1" si="7"/>
        <v>"hv15":0.062,</v>
      </c>
      <c r="S25" t="str">
        <f t="shared" ca="1" si="7"/>
        <v>"hv16":0.079,</v>
      </c>
      <c r="T25" t="str">
        <f t="shared" ca="1" si="2"/>
        <v>"hv17":0.081}</v>
      </c>
      <c r="U25" t="str">
        <f t="shared" ca="1" si="5"/>
        <v>"hv01":0.133,"hv02":0.097,"hv03":0.082,"hv04":0.076,"hv05":0.055,"hv06":-0.013,"hv07":-0.043,"hv08":-0.1,"hv09":-0.062,"hv10":-0.055,"hv11":-0.065,"hv12":0.054,"hv13":0.088,"hv14":0.045,"hv15":0.062,"hv16":0.079,"hv17":0.081}</v>
      </c>
      <c r="V25" t="s">
        <v>412</v>
      </c>
      <c r="X25" s="4" t="str">
        <f t="shared" si="4"/>
        <v xml:space="preserve">    {"type":"Feature","id":"27","properties":{"name":"Minnesota","hv01":0.133,"hv02":0.097,"hv03":0.082,"hv04":0.076,"hv05":0.055,"hv06":-0.013,"hv07":-0.043,"hv08":-0.1,"hv09":-0.062,"hv10":-0.055,"hv11":-0.065,"hv12":0.054,"hv13":0.088,"hv14":0.045,"hv15":0.062,"hv16":0.079,"hv17":0.081},"geometry":{"type":"Polygon","coordinates":[[[-92.014696,46.705401],[-92.091373,46.749217],[-92.29402,46.667063],[-92.29402,46.075553],[-92.354266,46.015307],[-92.639067,45.933153],[-92.869098,45.719552],[-92.885529,45.577151],[-92.770513,45.566198],[-92.644544,45.440228],[-92.75956,45.286874],[-92.737652,45.117088],[-92.808852,44.750133],[-92.545959,44.569394],[-92.337835,44.552964],[-92.233773,44.443425],[-91.927065,44.333886],[-91.877772,44.202439],[-91.592971,44.032654],[-91.43414,43.994316],[-91.242447,43.775238],[-91.269832,43.616407],[-91.215062,43.501391],[-91.368417,43.501391],[-96.451017,43.501391],[-96.451017,45.297827],[-96.681049,45.412843],[-96.856311,45.604536],[-96.582464,45.818137],[-96.560556,45.933153],[-96.598895,46.332969],[-96.719387,46.437031],[-96.801542,46.656109],[-96.785111,46.924479],[-96.823449,46.968294],[-96.856311,47.609096],[-97.053481,47.948667],[-97.130158,48.140359],[-97.16302,48.545653],[-97.097296,48.682577],[-97.228743,49.000239],[-95.152983,49.000239],[-95.152983,49.383625],[-94.955813,49.372671],[-94.824366,49.295994],[-94.69292,48.775685],[-94.588858,48.715438],[-94.260241,48.699007],[-94.221903,48.649715],[-93.838517,48.627807],[-93.794701,48.518268],[-93.466085,48.545653],[-93.466085,48.589469],[-93.208669,48.644238],[-92.984114,48.62233],[-92.726698,48.540176],[-92.655498,48.436114],[-92.50762,48.447068],[-92.370697,48.222514],[-92.304974,48.315622],[-92.053034,48.359437],[-92.009219,48.266329],[-91.713464,48.200606],[-91.713464,48.112975],[-91.565587,48.041775],[-91.264355,48.080113],[-91.083616,48.178698],[-90.837154,48.238944],[-90.749522,48.091067],[-90.579737,48.123929],[-90.377091,48.091067],[-90.141582,48.112975],[-89.873212,47.987005],[-89.615796,48.008913],[-89.637704,47.954144],[-89.971797,47.828174],[-90.437337,47.729589],[-90.738569,47.625527],[-91.171247,47.368111],[-91.357463,47.20928],[-91.642264,47.028541],[-92.091373,46.787555],[-92.014696,46.705401]]]}},</v>
      </c>
    </row>
    <row r="26" spans="1:24" x14ac:dyDescent="0.3">
      <c r="A26" t="s">
        <v>304</v>
      </c>
      <c r="B26" t="s">
        <v>258</v>
      </c>
      <c r="C26" t="str">
        <f t="shared" si="3"/>
        <v>"housevalue":123200}</v>
      </c>
      <c r="D26" t="str">
        <f t="shared" ca="1" si="7"/>
        <v>"hv01":0.015,</v>
      </c>
      <c r="E26" t="str">
        <f t="shared" ca="1" si="7"/>
        <v>"hv02":0.018,</v>
      </c>
      <c r="F26" t="str">
        <f t="shared" ca="1" si="7"/>
        <v>"hv03":0.001,</v>
      </c>
      <c r="G26" t="str">
        <f t="shared" ca="1" si="7"/>
        <v>"hv04":0.182,</v>
      </c>
      <c r="H26" t="str">
        <f t="shared" ca="1" si="7"/>
        <v>"hv05":0.218,</v>
      </c>
      <c r="I26" t="str">
        <f t="shared" ca="1" si="7"/>
        <v>"hv06":0.137,</v>
      </c>
      <c r="J26" t="str">
        <f t="shared" ca="1" si="7"/>
        <v>"hv07":0.011,</v>
      </c>
      <c r="K26" t="str">
        <f t="shared" ca="1" si="7"/>
        <v>"hv08":-0.039,</v>
      </c>
      <c r="L26" t="str">
        <f t="shared" ca="1" si="7"/>
        <v>"hv09":-0.005,</v>
      </c>
      <c r="M26" t="str">
        <f t="shared" ca="1" si="7"/>
        <v>"hv10":0.038,</v>
      </c>
      <c r="N26" t="str">
        <f t="shared" ca="1" si="7"/>
        <v>"hv11":-0.083,</v>
      </c>
      <c r="O26" t="str">
        <f t="shared" ca="1" si="7"/>
        <v>"hv12":-0.022,</v>
      </c>
      <c r="P26" t="str">
        <f t="shared" ca="1" si="7"/>
        <v>"hv13":-0.037,</v>
      </c>
      <c r="Q26" t="str">
        <f t="shared" ca="1" si="7"/>
        <v>"hv14":0.006,</v>
      </c>
      <c r="R26" t="str">
        <f t="shared" ca="1" si="7"/>
        <v>"hv15":0.069,</v>
      </c>
      <c r="S26" t="str">
        <f t="shared" ca="1" si="7"/>
        <v>"hv16":0.076,</v>
      </c>
      <c r="T26" t="str">
        <f t="shared" ca="1" si="2"/>
        <v>"hv17":0.02}</v>
      </c>
      <c r="U26" t="str">
        <f t="shared" ca="1" si="5"/>
        <v>"hv01":0.015,"hv02":0.018,"hv03":0.001,"hv04":0.182,"hv05":0.218,"hv06":0.137,"hv07":0.011,"hv08":-0.039,"hv09":-0.005,"hv10":0.038,"hv11":-0.083,"hv12":-0.022,"hv13":-0.037,"hv14":0.006,"hv15":0.069,"hv16":0.076,"hv17":0.02}</v>
      </c>
      <c r="V26" t="s">
        <v>413</v>
      </c>
      <c r="X26" s="4" t="str">
        <f t="shared" si="4"/>
        <v xml:space="preserve">    {"type":"Feature","id":"28","properties":{"name":"Mississippi","hv01":0.015,"hv02":0.018,"hv03":0.001,"hv04":0.182,"hv05":0.218,"hv06":0.137,"hv07":0.011,"hv08":-0.039,"hv09":-0.005,"hv10":0.038,"hv11":-0.083,"hv12":-0.022,"hv13":-0.037,"hv14":0.006,"hv15":0.069,"hv16":0.076,"hv17":0.02},"geometry":{"type":"Polygon","coordinates":[[[-88.471115,34.995703],[-88.202745,34.995703],[-88.098683,34.891641],[-88.241084,33.796253],[-88.471115,31.895754],[-88.394438,30.367688],[-88.503977,30.323872],[-88.744962,30.34578],[-88.843547,30.411504],[-89.084533,30.367688],[-89.418626,30.252672],[-89.522688,30.181472],[-89.643181,30.285534],[-89.681519,30.449842],[-89.845827,30.66892],[-89.747242,30.997536],[-91.636787,30.997536],[-91.565587,31.068736],[-91.636787,31.265906],[-91.516294,31.27686],[-91.499863,31.643815],[-91.401278,31.621907],[-91.341032,31.846462],[-91.105524,31.988862],[-90.985031,32.218894],[-91.006939,32.514649],[-91.154816,32.640618],[-91.143862,32.843265],[-91.072662,32.887081],[-91.16577,33.002096],[-91.089093,33.13902],[-91.143862,33.347144],[-91.056231,33.429298],[-91.231493,33.560744],[-91.072662,33.867453],[-90.891923,34.026284],[-90.952169,34.135823],[-90.744046,34.300131],[-90.749522,34.365854],[-90.568783,34.420624],[-90.585214,34.617794],[-90.481152,34.661609],[-90.409952,34.831394],[-90.251121,34.908072],[-90.311367,34.995703],[-88.471115,34.995703]]]}},</v>
      </c>
    </row>
    <row r="27" spans="1:24" x14ac:dyDescent="0.3">
      <c r="A27" t="s">
        <v>305</v>
      </c>
      <c r="B27" t="s">
        <v>245</v>
      </c>
      <c r="C27" t="str">
        <f t="shared" si="3"/>
        <v>"housevalue":155700}</v>
      </c>
      <c r="D27" t="str">
        <f t="shared" ca="1" si="7"/>
        <v>"hv01":0.065,</v>
      </c>
      <c r="E27" t="str">
        <f t="shared" ca="1" si="7"/>
        <v>"hv02":0.064,</v>
      </c>
      <c r="F27" t="str">
        <f t="shared" ca="1" si="7"/>
        <v>"hv03":0.045,</v>
      </c>
      <c r="G27" t="str">
        <f t="shared" ca="1" si="7"/>
        <v>"hv04":0.027,</v>
      </c>
      <c r="H27" t="str">
        <f t="shared" ca="1" si="7"/>
        <v>"hv05":0.057,</v>
      </c>
      <c r="I27" t="str">
        <f t="shared" ca="1" si="7"/>
        <v>"hv06":0.029,</v>
      </c>
      <c r="J27" t="str">
        <f t="shared" ca="1" si="7"/>
        <v>"hv07":-0.006,</v>
      </c>
      <c r="K27" t="str">
        <f t="shared" ca="1" si="7"/>
        <v>"hv08":-0.03,</v>
      </c>
      <c r="L27" t="str">
        <f t="shared" ca="1" si="7"/>
        <v>"hv09":-0.034,</v>
      </c>
      <c r="M27" t="str">
        <f t="shared" ca="1" si="7"/>
        <v>"hv10":-0.024,</v>
      </c>
      <c r="N27" t="str">
        <f t="shared" ca="1" si="7"/>
        <v>"hv11":-0.041,</v>
      </c>
      <c r="O27" t="str">
        <f t="shared" ca="1" si="7"/>
        <v>"hv12":0.002,</v>
      </c>
      <c r="P27" t="str">
        <f t="shared" ca="1" si="7"/>
        <v>"hv13":0.02,</v>
      </c>
      <c r="Q27" t="str">
        <f t="shared" ca="1" si="7"/>
        <v>"hv14":0.017,</v>
      </c>
      <c r="R27" t="str">
        <f t="shared" ca="1" si="7"/>
        <v>"hv15":0.048,</v>
      </c>
      <c r="S27" t="str">
        <f t="shared" ca="1" si="7"/>
        <v>"hv16":0.047,</v>
      </c>
      <c r="T27" t="str">
        <f t="shared" ca="1" si="2"/>
        <v>"hv17":0.059}</v>
      </c>
      <c r="U27" t="str">
        <f t="shared" ca="1" si="5"/>
        <v>"hv01":0.065,"hv02":0.064,"hv03":0.045,"hv04":0.027,"hv05":0.057,"hv06":0.029,"hv07":-0.006,"hv08":-0.03,"hv09":-0.034,"hv10":-0.024,"hv11":-0.041,"hv12":0.002,"hv13":0.02,"hv14":0.017,"hv15":0.048,"hv16":0.047,"hv17":0.059}</v>
      </c>
      <c r="V27" t="s">
        <v>414</v>
      </c>
      <c r="X27" s="4" t="str">
        <f t="shared" si="4"/>
        <v xml:space="preserve">    {"type":"Feature","id":"29","properties":{"name":"Missouri","hv01":0.065,"hv02":0.064,"hv03":0.045,"hv04":0.027,"hv05":0.057,"hv06":0.029,"hv07":-0.006,"hv08":-0.03,"hv09":-0.034,"hv10":-0.024,"hv11":-0.041,"hv12":0.002,"hv13":0.02,"hv14":0.017,"hv15":0.048,"hv16":0.047,"hv17":0.059},"geometry":{"type":"Polygon","coordinates":[[[-91.833957,40.609566],[-91.729895,40.615043],[-91.527248,40.412397],[-91.417709,40.379535],[-91.50534,40.237135],[-91.494386,40.034488],[-91.368417,39.727779],[-91.061708,39.470363],[-90.727615,39.256762],[-90.661891,38.928146],[-90.585214,38.867899],[-90.470199,38.961007],[-90.251121,38.917192],[-90.10872,38.845992],[-90.207305,38.725499],[-90.179921,38.632391],[-90.349706,38.374975],[-90.355183,38.216144],[-90.059428,38.013497],[-89.949889,37.88205],[-89.84035,37.903958],[-89.517211,37.690357],[-89.517211,37.537003],[-89.435057,37.34531],[-89.517211,37.279587],[-89.292656,36.994786],[-89.133825,36.983832],[-89.215979,36.578538],[-89.363857,36.622354],[-89.418626,36.496384],[-89.484349,36.496384],[-89.539119,36.496384],[-89.533642,36.249922],[-89.730812,35.997983],[-90.377091,35.997983],[-90.218259,36.184199],[-90.064905,36.304691],[-90.152536,36.496384],[-94.473842,36.501861],[-94.616242,36.501861],[-94.616242,37.000263],[-94.610765,39.158177],[-94.824366,39.20747],[-94.983197,39.442978],[-95.109167,39.541563],[-94.884612,39.831841],[-95.207752,39.908518],[-95.306337,40.001626],[-95.552799,40.264519],[-95.7664,40.587659],[-94.632673,40.571228],[-93.257961,40.582182],[-91.833957,40.609566]]]}},</v>
      </c>
    </row>
    <row r="28" spans="1:24" x14ac:dyDescent="0.3">
      <c r="A28" t="s">
        <v>306</v>
      </c>
      <c r="B28" t="s">
        <v>271</v>
      </c>
      <c r="C28" t="str">
        <f t="shared" si="3"/>
        <v>"housevalue":227500}</v>
      </c>
      <c r="D28" t="str">
        <f t="shared" ca="1" si="7"/>
        <v>"hv01":0.054,</v>
      </c>
      <c r="E28" t="str">
        <f t="shared" ca="1" si="7"/>
        <v>"hv02":0.034,</v>
      </c>
      <c r="F28" t="str">
        <f t="shared" ca="1" si="7"/>
        <v>"hv03":-0.053,</v>
      </c>
      <c r="G28" t="str">
        <f t="shared" ca="1" si="7"/>
        <v>"hv04":0.082,</v>
      </c>
      <c r="H28" t="str">
        <f t="shared" ca="1" si="7"/>
        <v>"hv05":0.075,</v>
      </c>
      <c r="I28" t="str">
        <f t="shared" ca="1" si="7"/>
        <v>"hv06":0.075,</v>
      </c>
      <c r="J28" t="str">
        <f t="shared" ca="1" si="7"/>
        <v>"hv07":0.044,</v>
      </c>
      <c r="K28" t="str">
        <f t="shared" ca="1" si="7"/>
        <v>"hv08":0.01,</v>
      </c>
      <c r="L28" t="str">
        <f t="shared" ca="1" si="7"/>
        <v>"hv09":-0.009,</v>
      </c>
      <c r="M28" t="str">
        <f t="shared" ca="1" si="7"/>
        <v>"hv10":-0.001,</v>
      </c>
      <c r="N28" t="str">
        <f t="shared" ca="1" si="7"/>
        <v>"hv11":-0.013,</v>
      </c>
      <c r="O28" t="str">
        <f t="shared" ca="1" si="7"/>
        <v>"hv12":0.025,</v>
      </c>
      <c r="P28" t="str">
        <f t="shared" ca="1" si="7"/>
        <v>"hv13":0.027,</v>
      </c>
      <c r="Q28" t="str">
        <f t="shared" ca="1" si="7"/>
        <v>"hv14":0.026,</v>
      </c>
      <c r="R28" t="str">
        <f t="shared" ca="1" si="7"/>
        <v>"hv15":0.026,</v>
      </c>
      <c r="S28" t="str">
        <f t="shared" ca="1" si="7"/>
        <v>"hv16":0.056,</v>
      </c>
      <c r="T28" t="str">
        <f t="shared" ca="1" si="2"/>
        <v>"hv17":0.029}</v>
      </c>
      <c r="U28" t="str">
        <f t="shared" ca="1" si="5"/>
        <v>"hv01":0.054,"hv02":0.034,"hv03":-0.053,"hv04":0.082,"hv05":0.075,"hv06":0.075,"hv07":0.044,"hv08":0.01,"hv09":-0.009,"hv10":-0.001,"hv11":-0.013,"hv12":0.025,"hv13":0.027,"hv14":0.026,"hv15":0.026,"hv16":0.056,"hv17":0.029}</v>
      </c>
      <c r="V28" t="s">
        <v>415</v>
      </c>
      <c r="X28" s="4" t="str">
        <f t="shared" si="4"/>
        <v xml:space="preserve">    {"type":"Feature","id":"30","properties":{"name":"Montana","hv01":0.054,"hv02":0.034,"hv03":-0.053,"hv04":0.082,"hv05":0.075,"hv06":0.075,"hv07":0.044,"hv08":0.01,"hv09":-0.009,"hv10":-0.001,"hv11":-0.013,"hv12":0.025,"hv13":0.027,"hv14":0.026,"hv15":0.026,"hv16":0.056,"hv17":0.029},"geometry":{"type":"Polygon","coordinates":[[[-104.047534,49.000239],[-104.042057,47.861036],[-104.047534,45.944106],[-104.042057,44.996596],[-104.058488,44.996596],[-105.91517,45.002073],[-109.080842,45.002073],[-111.05254,45.002073],[-111.047063,44.476286],[-111.227803,44.580348],[-111.386634,44.75561],[-111.616665,44.547487],[-111.819312,44.509148],[-111.868605,44.563917],[-112.104113,44.520102],[-112.241036,44.569394],[-112.471068,44.481763],[-112.783254,44.48724],[-112.887315,44.394132],[-113.002331,44.448902],[-113.133778,44.772041],[-113.341901,44.782995],[-113.456917,44.865149],[-113.45144,45.056842],[-113.571933,45.128042],[-113.736241,45.330689],[-113.834826,45.522382],[-113.807441,45.604536],[-113.98818,45.703121],[-114.086765,45.593582],[-114.333228,45.456659],[-114.546828,45.560721],[-114.497536,45.670259],[-114.568736,45.774321],[-114.387997,45.88386],[-114.492059,46.037214],[-114.464674,46.272723],[-114.322274,46.645155],[-114.612552,46.639678],[-114.623506,46.705401],[-114.886399,46.809463],[-114.930214,46.919002],[-115.302646,47.187372],[-115.324554,47.258572],[-115.527201,47.302388],[-115.718894,47.42288],[-115.724371,47.696727],[-116.04751,47.976051],[-116.04751,49.000239],[-111.50165,48.994762],[-109.453274,49.000239],[-104.047534,49.000239]]]}},</v>
      </c>
    </row>
    <row r="29" spans="1:24" x14ac:dyDescent="0.3">
      <c r="A29" t="s">
        <v>307</v>
      </c>
      <c r="B29" t="s">
        <v>265</v>
      </c>
      <c r="C29" t="str">
        <f t="shared" si="3"/>
        <v>"housevalue":161200}</v>
      </c>
      <c r="D29" t="str">
        <f t="shared" ca="1" si="7"/>
        <v>"hv01":-0.151,</v>
      </c>
      <c r="E29" t="str">
        <f t="shared" ca="1" si="7"/>
        <v>"hv02":0.042,</v>
      </c>
      <c r="F29" t="str">
        <f t="shared" ca="1" si="7"/>
        <v>"hv03":0.074,</v>
      </c>
      <c r="G29" t="str">
        <f t="shared" ca="1" si="7"/>
        <v>"hv04":0.077,</v>
      </c>
      <c r="H29" t="str">
        <f t="shared" ca="1" si="7"/>
        <v>"hv05":0.046,</v>
      </c>
      <c r="I29" t="str">
        <f t="shared" ca="1" si="7"/>
        <v>"hv06":0.032,</v>
      </c>
      <c r="J29" t="str">
        <f t="shared" ca="1" si="7"/>
        <v>"hv07":-0.004,</v>
      </c>
      <c r="K29" t="str">
        <f t="shared" ca="1" si="7"/>
        <v>"hv08":-0.02,</v>
      </c>
      <c r="L29" t="str">
        <f t="shared" ca="1" si="7"/>
        <v>"hv09":0.003,</v>
      </c>
      <c r="M29" t="str">
        <f t="shared" ca="1" si="7"/>
        <v>"hv10":-0.007,</v>
      </c>
      <c r="N29" t="str">
        <f t="shared" ca="1" si="7"/>
        <v>"hv11":-0.012,</v>
      </c>
      <c r="O29" t="str">
        <f t="shared" ca="1" si="7"/>
        <v>"hv12":0.031,</v>
      </c>
      <c r="P29" t="str">
        <f t="shared" ca="1" si="7"/>
        <v>"hv13":0.028,</v>
      </c>
      <c r="Q29" t="str">
        <f t="shared" ca="1" si="7"/>
        <v>"hv14":0.034,</v>
      </c>
      <c r="R29" t="str">
        <f t="shared" ca="1" si="7"/>
        <v>"hv15":0.054,</v>
      </c>
      <c r="S29" t="str">
        <f t="shared" ca="1" si="7"/>
        <v>"hv16":0.055,</v>
      </c>
      <c r="T29" t="str">
        <f t="shared" ca="1" si="2"/>
        <v>"hv17":0.071}</v>
      </c>
      <c r="U29" t="str">
        <f t="shared" ca="1" si="5"/>
        <v>"hv01":-0.151,"hv02":0.042,"hv03":0.074,"hv04":0.077,"hv05":0.046,"hv06":0.032,"hv07":-0.004,"hv08":-0.02,"hv09":0.003,"hv10":-0.007,"hv11":-0.012,"hv12":0.031,"hv13":0.028,"hv14":0.034,"hv15":0.054,"hv16":0.055,"hv17":0.071}</v>
      </c>
      <c r="V29" t="s">
        <v>416</v>
      </c>
      <c r="X29" s="4" t="str">
        <f t="shared" si="4"/>
        <v xml:space="preserve">    {"type":"Feature","id":"31","properties":{"name":"Nebraska","hv01":-0.151,"hv02":0.042,"hv03":0.074,"hv04":0.077,"hv05":0.046,"hv06":0.032,"hv07":-0.004,"hv08":-0.02,"hv09":0.003,"hv10":-0.007,"hv11":-0.012,"hv12":0.031,"hv13":0.028,"hv14":0.034,"hv15":0.054,"hv16":0.055,"hv17":0.071},"geometry":{"type":"Polygon","coordinates":[[[-103.324578,43.002989],[-101.626726,42.997512],[-98.499393,42.997512],[-98.466531,42.94822],[-97.951699,42.767481],[-97.831206,42.866066],[-97.688806,42.844158],[-97.217789,42.844158],[-96.692003,42.657942],[-96.626279,42.515542],[-96.44554,42.488157],[-96.264801,42.039048],[-96.127878,41.973325],[-96.062155,41.798063],[-96.122401,41.67757],[-96.095016,41.540646],[-95.919754,41.453015],[-95.925231,41.201076],[-95.826646,40.976521],[-95.881416,40.719105],[-95.7664,40.587659],[-95.552799,40.264519],[-95.306337,40.001626],[-101.90605,40.001626],[-102.053927,40.001626],[-102.053927,41.003906],[-104.053011,41.003906],[-104.053011,43.002989],[-103.324578,43.002989]]]}},</v>
      </c>
    </row>
    <row r="30" spans="1:24" x14ac:dyDescent="0.3">
      <c r="A30" t="s">
        <v>308</v>
      </c>
      <c r="B30" t="s">
        <v>262</v>
      </c>
      <c r="C30" t="str">
        <f t="shared" si="3"/>
        <v>"housevalue":284300}</v>
      </c>
      <c r="D30" t="str">
        <f t="shared" ca="1" si="7"/>
        <v>"hv01":0.073,</v>
      </c>
      <c r="E30" t="str">
        <f t="shared" ca="1" si="7"/>
        <v>"hv02":0.068,</v>
      </c>
      <c r="F30" t="str">
        <f t="shared" ca="1" si="7"/>
        <v>"hv03":0.184,</v>
      </c>
      <c r="G30" t="str">
        <f t="shared" ca="1" si="7"/>
        <v>"hv04":0.419,</v>
      </c>
      <c r="H30" t="str">
        <f t="shared" ca="1" si="7"/>
        <v>"hv05":0.114,</v>
      </c>
      <c r="I30" t="str">
        <f t="shared" ca="1" si="7"/>
        <v>"hv06":-0.016,</v>
      </c>
      <c r="J30" t="str">
        <f t="shared" ca="1" si="7"/>
        <v>"hv07":-0.129,</v>
      </c>
      <c r="K30" t="str">
        <f t="shared" ca="1" si="7"/>
        <v>"hv08":-0.248,</v>
      </c>
      <c r="L30" t="str">
        <f t="shared" ca="1" si="7"/>
        <v>"hv09":-0.236,</v>
      </c>
      <c r="M30" t="str">
        <f t="shared" ca="1" si="7"/>
        <v>"hv10":-0.085,</v>
      </c>
      <c r="N30" t="str">
        <f t="shared" ca="1" si="7"/>
        <v>"hv11":-0.1,</v>
      </c>
      <c r="O30" t="str">
        <f t="shared" ca="1" si="7"/>
        <v>"hv12":0.114,</v>
      </c>
      <c r="P30" t="str">
        <f t="shared" ca="1" si="7"/>
        <v>"hv13":0.242,</v>
      </c>
      <c r="Q30" t="str">
        <f t="shared" ca="1" si="7"/>
        <v>"hv14":0.103,</v>
      </c>
      <c r="R30" t="str">
        <f t="shared" ca="1" si="7"/>
        <v>"hv15":0.093,</v>
      </c>
      <c r="S30" t="str">
        <f t="shared" ca="1" si="7"/>
        <v>"hv16":0.09,</v>
      </c>
      <c r="T30" t="str">
        <f t="shared" ca="1" si="2"/>
        <v>"hv17":0.122}</v>
      </c>
      <c r="U30" t="str">
        <f t="shared" ca="1" si="5"/>
        <v>"hv01":0.073,"hv02":0.068,"hv03":0.184,"hv04":0.419,"hv05":0.114,"hv06":-0.016,"hv07":-0.129,"hv08":-0.248,"hv09":-0.236,"hv10":-0.085,"hv11":-0.1,"hv12":0.114,"hv13":0.242,"hv14":0.103,"hv15":0.093,"hv16":0.09,"hv17":0.122}</v>
      </c>
      <c r="V30" t="s">
        <v>417</v>
      </c>
      <c r="X30" s="4" t="str">
        <f t="shared" si="4"/>
        <v xml:space="preserve">    {"type":"Feature","id":"32","properties":{"name":"Nevada","hv01":0.073,"hv02":0.068,"hv03":0.184,"hv04":0.419,"hv05":0.114,"hv06":-0.016,"hv07":-0.129,"hv08":-0.248,"hv09":-0.236,"hv10":-0.085,"hv11":-0.1,"hv12":0.114,"hv13":0.242,"hv14":0.103,"hv15":0.093,"hv16":0.09,"hv17":0.122},"geometry":{"type":"Polygon","coordinates":[[[-117.027882,42.000709],[-114.04295,41.995232],[-114.048427,37.000263],[-114.048427,36.195153],[-114.152489,36.025367],[-114.251074,36.01989],[-114.371566,36.140383],[-114.738521,36.102045],[-114.678275,35.516012],[-114.596121,35.324319],[-114.574213,35.138103],[-114.634459,35.00118],[-115.85034,35.970598],[-116.540435,36.501861],[-117.498899,37.21934],[-118.71478,38.101128],[-120.001861,38.999346],[-119.996384,40.264519],[-120.001861,41.995232],[-118.698349,41.989755],[-117.027882,42.000709]]]}},</v>
      </c>
    </row>
    <row r="31" spans="1:24" x14ac:dyDescent="0.3">
      <c r="A31" t="s">
        <v>309</v>
      </c>
      <c r="B31" t="s">
        <v>269</v>
      </c>
      <c r="C31" t="str">
        <f t="shared" si="3"/>
        <v>"housevalue":270200}</v>
      </c>
      <c r="D31" t="str">
        <f t="shared" ca="1" si="7"/>
        <v>"hv01":0.139,</v>
      </c>
      <c r="E31" t="str">
        <f t="shared" ca="1" si="7"/>
        <v>"hv02":0.133,</v>
      </c>
      <c r="F31" t="str">
        <f t="shared" ca="1" si="7"/>
        <v>"hv03":0.136,</v>
      </c>
      <c r="G31" t="str">
        <f t="shared" ca="1" si="7"/>
        <v>"hv04":0.117,</v>
      </c>
      <c r="H31" t="str">
        <f t="shared" ca="1" si="7"/>
        <v>"hv05":0.067,</v>
      </c>
      <c r="I31" t="str">
        <f t="shared" ca="1" si="7"/>
        <v>"hv06":-0.023,</v>
      </c>
      <c r="J31" t="str">
        <f t="shared" ca="1" si="7"/>
        <v>"hv07":-0.042,</v>
      </c>
      <c r="K31" t="str">
        <f t="shared" ca="1" si="7"/>
        <v>"hv08":-0.077,</v>
      </c>
      <c r="L31" t="str">
        <f t="shared" ca="1" si="7"/>
        <v>"hv09":-0.051,</v>
      </c>
      <c r="M31" t="str">
        <f t="shared" ca="1" si="7"/>
        <v>"hv10":-0.036,</v>
      </c>
      <c r="N31" t="str">
        <f t="shared" ca="1" si="7"/>
        <v>"hv11":-0.049,</v>
      </c>
      <c r="O31" t="str">
        <f t="shared" ca="1" si="7"/>
        <v>"hv12":0.013,</v>
      </c>
      <c r="P31" t="str">
        <f t="shared" ca="1" si="7"/>
        <v>"hv13":0.05,</v>
      </c>
      <c r="Q31" t="str">
        <f t="shared" ca="1" si="7"/>
        <v>"hv14":0.035,</v>
      </c>
      <c r="R31" t="str">
        <f t="shared" ca="1" si="7"/>
        <v>"hv15":0.043,</v>
      </c>
      <c r="S31" t="str">
        <f t="shared" ca="1" si="7"/>
        <v>"hv16":0.053,</v>
      </c>
      <c r="T31" t="str">
        <f t="shared" ca="1" si="2"/>
        <v>"hv17":0.076}</v>
      </c>
      <c r="U31" t="str">
        <f t="shared" ca="1" si="5"/>
        <v>"hv01":0.139,"hv02":0.133,"hv03":0.136,"hv04":0.117,"hv05":0.067,"hv06":-0.023,"hv07":-0.042,"hv08":-0.077,"hv09":-0.051,"hv10":-0.036,"hv11":-0.049,"hv12":0.013,"hv13":0.05,"hv14":0.035,"hv15":0.043,"hv16":0.053,"hv17":0.076}</v>
      </c>
      <c r="V31" t="s">
        <v>418</v>
      </c>
      <c r="X31" s="4" t="str">
        <f t="shared" si="4"/>
        <v xml:space="preserve">    {"type":"Feature","id":"33","properties":{"name":"New Hampshire","hv01":0.139,"hv02":0.133,"hv03":0.136,"hv04":0.117,"hv05":0.067,"hv06":-0.023,"hv07":-0.042,"hv08":-0.077,"hv09":-0.051,"hv10":-0.036,"hv11":-0.049,"hv12":0.013,"hv13":0.05,"hv14":0.035,"hv15":0.043,"hv16":0.053,"hv17":0.076},"geometry":{"type":"Polygon","coordinates":[[[-71.08183,45.303304],[-71.032537,44.657025],[-70.966814,43.34256],[-70.807983,43.227544],[-70.824413,43.128959],[-70.703921,43.057759],[-70.818936,42.871543],[-70.917521,42.887974],[-71.185891,42.789389],[-71.29543,42.696281],[-72.456542,42.729142],[-72.544173,42.80582],[-72.533219,42.953697],[-72.445588,43.008466],[-72.456542,43.150867],[-72.379864,43.572591],[-72.204602,43.769761],[-72.116971,43.994316],[-72.02934,44.07647],[-72.034817,44.322932],[-71.700724,44.41604],[-71.536416,44.585825],[-71.629524,44.750133],[-71.4926,44.914442],[-71.503554,45.013027],[-71.361154,45.270443],[-71.131122,45.243058],[-71.08183,45.303304]]]}},</v>
      </c>
    </row>
    <row r="32" spans="1:24" x14ac:dyDescent="0.3">
      <c r="A32" t="s">
        <v>310</v>
      </c>
      <c r="B32" t="s">
        <v>238</v>
      </c>
      <c r="C32" t="str">
        <f t="shared" si="3"/>
        <v>"housevalue":321200}</v>
      </c>
      <c r="D32" t="str">
        <f t="shared" ref="D32:S41" ca="1" si="8">CHAR(34)&amp;D$56&amp;CHAR(34)&amp;":"&amp;INDIRECT("HV_PCT_CHG!"&amp;D$1&amp;ROW($A32))&amp;","</f>
        <v>"hv01":0.128,</v>
      </c>
      <c r="E32" t="str">
        <f t="shared" ca="1" si="8"/>
        <v>"hv02":0.178,</v>
      </c>
      <c r="F32" t="str">
        <f t="shared" ca="1" si="8"/>
        <v>"hv03":0.148,</v>
      </c>
      <c r="G32" t="str">
        <f t="shared" ca="1" si="8"/>
        <v>"hv04":0.153,</v>
      </c>
      <c r="H32" t="str">
        <f t="shared" ca="1" si="8"/>
        <v>"hv05":0.144,</v>
      </c>
      <c r="I32" t="str">
        <f t="shared" ca="1" si="8"/>
        <v>"hv06":0.034,</v>
      </c>
      <c r="J32" t="str">
        <f t="shared" ca="1" si="8"/>
        <v>"hv07":-0.044,</v>
      </c>
      <c r="K32" t="str">
        <f t="shared" ca="1" si="8"/>
        <v>"hv08":-0.089,</v>
      </c>
      <c r="L32" t="str">
        <f t="shared" ca="1" si="8"/>
        <v>"hv09":-0.076,</v>
      </c>
      <c r="M32" t="str">
        <f t="shared" ca="1" si="8"/>
        <v>"hv10":-0.055,</v>
      </c>
      <c r="N32" t="str">
        <f t="shared" ca="1" si="8"/>
        <v>"hv11":-0.071,</v>
      </c>
      <c r="O32" t="str">
        <f t="shared" ca="1" si="8"/>
        <v>"hv12":-0.028,</v>
      </c>
      <c r="P32" t="str">
        <f t="shared" ca="1" si="8"/>
        <v>"hv13":0.036,</v>
      </c>
      <c r="Q32" t="str">
        <f t="shared" ca="1" si="8"/>
        <v>"hv14":0.026,</v>
      </c>
      <c r="R32" t="str">
        <f t="shared" ca="1" si="8"/>
        <v>"hv15":0.009,</v>
      </c>
      <c r="S32" t="str">
        <f t="shared" ca="1" si="8"/>
        <v>"hv16":0.02,</v>
      </c>
      <c r="T32" t="str">
        <f t="shared" ca="1" si="2"/>
        <v>"hv17":0.094}</v>
      </c>
      <c r="U32" t="str">
        <f t="shared" ca="1" si="5"/>
        <v>"hv01":0.128,"hv02":0.178,"hv03":0.148,"hv04":0.153,"hv05":0.144,"hv06":0.034,"hv07":-0.044,"hv08":-0.089,"hv09":-0.076,"hv10":-0.055,"hv11":-0.071,"hv12":-0.028,"hv13":0.036,"hv14":0.026,"hv15":0.009,"hv16":0.02,"hv17":0.094}</v>
      </c>
      <c r="V32" t="s">
        <v>419</v>
      </c>
      <c r="X32" s="4" t="str">
        <f t="shared" si="4"/>
        <v xml:space="preserve">    {"type":"Feature","id":"34","properties":{"name":"New Jersey","hv01":0.128,"hv02":0.178,"hv03":0.148,"hv04":0.153,"hv05":0.144,"hv06":0.034,"hv07":-0.044,"hv08":-0.089,"hv09":-0.076,"hv10":-0.055,"hv11":-0.071,"hv12":-0.028,"hv13":0.036,"hv14":0.026,"hv15":0.009,"hv16":0.02,"hv17":0.094},"geometry":{"type":"Polygon","coordinates":[[[-74.236547,41.14083],[-73.902454,40.998429],[-74.022947,40.708151],[-74.187255,40.642428],[-74.274886,40.489074],[-74.001039,40.412397],[-73.979131,40.297381],[-74.099624,39.760641],[-74.411809,39.360824],[-74.614456,39.245808],[-74.795195,38.993869],[-74.888303,39.158177],[-75.178581,39.240331],[-75.534582,39.459409],[-75.55649,39.607286],[-75.561967,39.629194],[-75.507197,39.683964],[-75.414089,39.804456],[-75.145719,39.88661],[-75.129289,39.963288],[-74.82258,40.127596],[-74.773287,40.215227],[-75.058088,40.417874],[-75.069042,40.543843],[-75.195012,40.576705],[-75.205966,40.691721],[-75.052611,40.866983],[-75.134765,40.971045],[-74.882826,41.179168],[-74.828057,41.288707],[-74.69661,41.359907],[-74.236547,41.14083]]]}},</v>
      </c>
    </row>
    <row r="33" spans="1:24" x14ac:dyDescent="0.3">
      <c r="A33" t="s">
        <v>311</v>
      </c>
      <c r="B33" t="s">
        <v>263</v>
      </c>
      <c r="C33" t="str">
        <f t="shared" si="3"/>
        <v>"housevalue":190100}</v>
      </c>
      <c r="D33" t="str">
        <f t="shared" ca="1" si="8"/>
        <v>"hv01":0.068,</v>
      </c>
      <c r="E33" t="str">
        <f t="shared" ca="1" si="8"/>
        <v>"hv02":0.012,</v>
      </c>
      <c r="F33" t="str">
        <f t="shared" ca="1" si="8"/>
        <v>"hv03":0.086,</v>
      </c>
      <c r="G33" t="str">
        <f t="shared" ca="1" si="8"/>
        <v>"hv04":0.016,</v>
      </c>
      <c r="H33" t="str">
        <f t="shared" ca="1" si="8"/>
        <v>"hv05":0.038,</v>
      </c>
      <c r="I33" t="str">
        <f t="shared" ca="1" si="8"/>
        <v>"hv06":0.137,</v>
      </c>
      <c r="J33" t="str">
        <f t="shared" ca="1" si="8"/>
        <v>"hv07":0.03,</v>
      </c>
      <c r="K33" t="str">
        <f t="shared" ca="1" si="8"/>
        <v>"hv08":-0.02,</v>
      </c>
      <c r="L33" t="str">
        <f t="shared" ca="1" si="8"/>
        <v>"hv09":-0.03,</v>
      </c>
      <c r="M33" t="str">
        <f t="shared" ca="1" si="8"/>
        <v>"hv10":-0.043,</v>
      </c>
      <c r="N33" t="str">
        <f t="shared" ca="1" si="8"/>
        <v>"hv11":-0.064,</v>
      </c>
      <c r="O33" t="str">
        <f t="shared" ca="1" si="8"/>
        <v>"hv12":-0.019,</v>
      </c>
      <c r="P33" t="str">
        <f t="shared" ca="1" si="8"/>
        <v>"hv13":0.004,</v>
      </c>
      <c r="Q33" t="str">
        <f t="shared" ca="1" si="8"/>
        <v>"hv14":0.018,</v>
      </c>
      <c r="R33" t="str">
        <f t="shared" ca="1" si="8"/>
        <v>"hv15":0.044,</v>
      </c>
      <c r="S33" t="str">
        <f t="shared" ca="1" si="8"/>
        <v>"hv16":0.04,</v>
      </c>
      <c r="T33" t="str">
        <f t="shared" ca="1" si="2"/>
        <v>"hv17":0.049}</v>
      </c>
      <c r="U33" t="str">
        <f t="shared" ca="1" si="5"/>
        <v>"hv01":0.068,"hv02":0.012,"hv03":0.086,"hv04":0.016,"hv05":0.038,"hv06":0.137,"hv07":0.03,"hv08":-0.02,"hv09":-0.03,"hv10":-0.043,"hv11":-0.064,"hv12":-0.019,"hv13":0.004,"hv14":0.018,"hv15":0.044,"hv16":0.04,"hv17":0.049}</v>
      </c>
      <c r="V33" t="s">
        <v>420</v>
      </c>
      <c r="X33" s="4" t="str">
        <f t="shared" si="4"/>
        <v xml:space="preserve">    {"type":"Feature","id":"35","properties":{"name":"New Mexico","hv01":0.068,"hv02":0.012,"hv03":0.086,"hv04":0.016,"hv05":0.038,"hv06":0.137,"hv07":0.03,"hv08":-0.02,"hv09":-0.03,"hv10":-0.043,"hv11":-0.064,"hv12":-0.019,"hv13":0.004,"hv14":0.018,"hv15":0.044,"hv16":0.04,"hv17":0.049},"geometry":{"type":"Polygon","coordinates":[[[-107.421329,37.000263],[-106.868158,36.994786],[-104.337812,36.994786],[-103.001438,37.000263],[-103.001438,36.501861],[-103.039777,36.501861],[-103.045254,34.01533],[-103.067161,33.002096],[-103.067161,31.999816],[-106.616219,31.999816],[-106.643603,31.901231],[-106.528588,31.786216],[-108.210008,31.786216],[-108.210008,31.331629],[-109.04798,31.331629],[-109.042503,37.000263],[-107.421329,37.000263]]]}},</v>
      </c>
    </row>
    <row r="34" spans="1:24" x14ac:dyDescent="0.3">
      <c r="A34" t="s">
        <v>312</v>
      </c>
      <c r="B34" t="s">
        <v>230</v>
      </c>
      <c r="C34" t="str">
        <f t="shared" si="3"/>
        <v>"housevalue":283800}</v>
      </c>
      <c r="D34" t="str">
        <f t="shared" ca="1" si="8"/>
        <v>"hv01":0.104,</v>
      </c>
      <c r="E34" t="str">
        <f t="shared" ca="1" si="8"/>
        <v>"hv02":0.128,</v>
      </c>
      <c r="F34" t="str">
        <f t="shared" ca="1" si="8"/>
        <v>"hv03":0.168,</v>
      </c>
      <c r="G34" t="str">
        <f t="shared" ca="1" si="8"/>
        <v>"hv04":0.154,</v>
      </c>
      <c r="H34" t="str">
        <f t="shared" ca="1" si="8"/>
        <v>"hv05":0.131,</v>
      </c>
      <c r="I34" t="str">
        <f t="shared" ca="1" si="8"/>
        <v>"hv06":0.04,</v>
      </c>
      <c r="J34" t="str">
        <f t="shared" ca="1" si="8"/>
        <v>"hv07":-0.013,</v>
      </c>
      <c r="K34" t="str">
        <f t="shared" ca="1" si="8"/>
        <v>"hv08":-0.088,</v>
      </c>
      <c r="L34" t="str">
        <f t="shared" ca="1" si="8"/>
        <v>"hv09":-0.058,</v>
      </c>
      <c r="M34" t="str">
        <f t="shared" ca="1" si="8"/>
        <v>"hv10":-0.045,</v>
      </c>
      <c r="N34" t="str">
        <f t="shared" ca="1" si="8"/>
        <v>"hv11":-0.046,</v>
      </c>
      <c r="O34" t="str">
        <f t="shared" ca="1" si="8"/>
        <v>"hv12":-0.012,</v>
      </c>
      <c r="P34" t="str">
        <f t="shared" ca="1" si="8"/>
        <v>"hv13":0.032,</v>
      </c>
      <c r="Q34" t="str">
        <f t="shared" ca="1" si="8"/>
        <v>"hv14":0.023,</v>
      </c>
      <c r="R34" t="str">
        <f t="shared" ca="1" si="8"/>
        <v>"hv15":0.028,</v>
      </c>
      <c r="S34" t="str">
        <f t="shared" ca="1" si="8"/>
        <v>"hv16":0.042,</v>
      </c>
      <c r="T34" t="str">
        <f t="shared" ref="T34:T52" ca="1" si="9">CHAR(34)&amp;T$56&amp;CHAR(34)&amp;":"&amp;INDIRECT("HV_PCT_CHG!"&amp;T$1&amp;ROW($A34))&amp;"}"</f>
        <v>"hv17":0.06}</v>
      </c>
      <c r="U34" t="str">
        <f t="shared" ca="1" si="5"/>
        <v>"hv01":0.104,"hv02":0.128,"hv03":0.168,"hv04":0.154,"hv05":0.131,"hv06":0.04,"hv07":-0.013,"hv08":-0.088,"hv09":-0.058,"hv10":-0.045,"hv11":-0.046,"hv12":-0.012,"hv13":0.032,"hv14":0.023,"hv15":0.028,"hv16":0.042,"hv17":0.06}</v>
      </c>
      <c r="V34" t="s">
        <v>421</v>
      </c>
      <c r="X34" s="4" t="str">
        <f t="shared" si="4"/>
        <v xml:space="preserve">    {"type":"Feature","id":"36","properties":{"name":"New York","hv01":0.104,"hv02":0.128,"hv03":0.168,"hv04":0.154,"hv05":0.131,"hv06":0.04,"hv07":-0.013,"hv08":-0.088,"hv09":-0.058,"hv10":-0.045,"hv11":-0.046,"hv12":-0.012,"hv13":0.032,"hv14":0.023,"hv15":0.028,"hv16":0.042,"hv17":0.06},"geometry":{"type":"Polygon","coordinates":[[[-73.343806,45.013027],[-73.332852,44.804903],[-73.387622,44.618687],[-73.294514,44.437948],[-73.321898,44.246255],[-73.436914,44.043608],[-73.349283,43.769761],[-73.404052,43.687607],[-73.245221,43.523299],[-73.278083,42.833204],[-73.267129,42.745573],[-73.508114,42.08834],[-73.486206,42.050002],[-73.55193,41.294184],[-73.48073,41.21203],[-73.727192,41.102491],[-73.655992,40.987475],[-73.22879,40.905321],[-73.141159,40.965568],[-72.774204,40.965568],[-72.587988,40.998429],[-72.28128,41.157261],[-72.259372,41.042245],[-72.100541,40.992952],[-72.467496,40.845075],[-73.239744,40.625997],[-73.562884,40.582182],[-73.776484,40.593136],[-73.935316,40.543843],[-74.022947,40.708151],[-73.902454,40.998429],[-74.236547,41.14083],[-74.69661,41.359907],[-74.740426,41.431108],[-74.89378,41.436584],[-75.074519,41.60637],[-75.052611,41.754247],[-75.173104,41.869263],[-75.249781,41.863786],[-75.35932,42.000709],[-79.76278,42.000709],[-79.76278,42.252649],[-79.76278,42.269079],[-79.149363,42.55388],[-79.050778,42.690804],[-78.853608,42.783912],[-78.930285,42.953697],[-79.012439,42.986559],[-79.072686,43.260406],[-78.486653,43.375421],[-77.966344,43.369944],[-77.75822,43.34256],[-77.533665,43.233021],[-77.391265,43.276836],[-76.958587,43.271359],[-76.695693,43.34256],[-76.41637,43.523299],[-76.235631,43.528776],[-76.230154,43.802623],[-76.137046,43.961454],[-76.3616,44.070993],[-76.312308,44.196962],[-75.912491,44.366748],[-75.764614,44.514625],[-75.282643,44.848718],[-74.828057,45.018503],[-74.148916,44.991119],[-73.343806,45.013027]]]}},</v>
      </c>
    </row>
    <row r="35" spans="1:24" x14ac:dyDescent="0.3">
      <c r="A35" t="s">
        <v>313</v>
      </c>
      <c r="B35" t="s">
        <v>237</v>
      </c>
      <c r="C35" t="str">
        <f t="shared" si="3"/>
        <v>"housevalue":177400}</v>
      </c>
      <c r="D35" t="str">
        <f t="shared" ca="1" si="8"/>
        <v>"hv01":0.019,</v>
      </c>
      <c r="E35" t="str">
        <f t="shared" ca="1" si="8"/>
        <v>"hv02":0.036,</v>
      </c>
      <c r="F35" t="str">
        <f t="shared" ca="1" si="8"/>
        <v>"hv03":0.046,</v>
      </c>
      <c r="G35" t="str">
        <f t="shared" ca="1" si="8"/>
        <v>"hv04":0.063,</v>
      </c>
      <c r="H35" t="str">
        <f t="shared" ca="1" si="8"/>
        <v>"hv05":0.051,</v>
      </c>
      <c r="I35" t="str">
        <f t="shared" ca="1" si="8"/>
        <v>"hv06":0.068,</v>
      </c>
      <c r="J35" t="str">
        <f t="shared" ca="1" si="8"/>
        <v>"hv07":0.023,</v>
      </c>
      <c r="K35" t="str">
        <f t="shared" ca="1" si="8"/>
        <v>"hv08":-0.029,</v>
      </c>
      <c r="L35" t="str">
        <f t="shared" ca="1" si="8"/>
        <v>"hv09":-0.033,</v>
      </c>
      <c r="M35" t="str">
        <f t="shared" ca="1" si="8"/>
        <v>"hv10":-0.031,</v>
      </c>
      <c r="N35" t="str">
        <f t="shared" ca="1" si="8"/>
        <v>"hv11":-0.037,</v>
      </c>
      <c r="O35" t="str">
        <f t="shared" ca="1" si="8"/>
        <v>"hv12":0.001,</v>
      </c>
      <c r="P35" t="str">
        <f t="shared" ca="1" si="8"/>
        <v>"hv13":0.03,</v>
      </c>
      <c r="Q35" t="str">
        <f t="shared" ca="1" si="8"/>
        <v>"hv14":0.022,</v>
      </c>
      <c r="R35" t="str">
        <f t="shared" ca="1" si="8"/>
        <v>"hv15":0.037,</v>
      </c>
      <c r="S35" t="str">
        <f t="shared" ca="1" si="8"/>
        <v>"hv16":0.068,</v>
      </c>
      <c r="T35" t="str">
        <f t="shared" ca="1" si="9"/>
        <v>"hv17":0.062}</v>
      </c>
      <c r="U35" t="str">
        <f t="shared" ca="1" si="5"/>
        <v>"hv01":0.019,"hv02":0.036,"hv03":0.046,"hv04":0.063,"hv05":0.051,"hv06":0.068,"hv07":0.023,"hv08":-0.029,"hv09":-0.033,"hv10":-0.031,"hv11":-0.037,"hv12":0.001,"hv13":0.03,"hv14":0.022,"hv15":0.037,"hv16":0.068,"hv17":0.062}</v>
      </c>
      <c r="V35" t="s">
        <v>422</v>
      </c>
      <c r="X35" s="4" t="str">
        <f t="shared" si="4"/>
        <v xml:space="preserve">    {"type":"Feature","id":"37","properties":{"name":"North Carolina","hv01":0.019,"hv02":0.036,"hv03":0.046,"hv04":0.063,"hv05":0.051,"hv06":0.068,"hv07":0.023,"hv08":-0.029,"hv09":-0.033,"hv10":-0.031,"hv11":-0.037,"hv12":0.001,"hv13":0.03,"hv14":0.022,"hv15":0.037,"hv16":0.068,"hv17":0.062},"geometry":{"type":"Polygon","coordinates":[[[-80.978661,36.562108],[-80.294043,36.545677],[-79.510841,36.5402],[-75.868676,36.551154],[-75.75366,36.151337],[-76.032984,36.189676],[-76.071322,36.140383],[-76.410893,36.080137],[-76.460185,36.025367],[-76.68474,36.008937],[-76.673786,35.937736],[-76.399939,35.987029],[-76.3616,35.943213],[-76.060368,35.992506],[-75.961783,35.899398],[-75.781044,35.937736],[-75.715321,35.696751],[-75.775568,35.581735],[-75.89606,35.570781],[-76.147999,35.324319],[-76.482093,35.313365],[-76.536862,35.14358],[-76.394462,34.973795],[-76.279446,34.940933],[-76.493047,34.661609],[-76.673786,34.694471],[-76.991448,34.667086],[-77.210526,34.60684],[-77.555573,34.415147],[-77.82942,34.163208],[-77.971821,33.845545],[-78.179944,33.916745],[-78.541422,33.851022],[-79.675149,34.80401],[-80.797922,34.820441],[-80.781491,34.935456],[-80.934845,35.105241],[-81.038907,35.044995],[-81.044384,35.149057],[-82.276696,35.198349],[-82.550543,35.160011],[-82.764143,35.066903],[-83.109191,35.00118],[-83.618546,34.984749],[-84.319594,34.990226],[-84.29221,35.225734],[-84.09504,35.247642],[-84.018363,35.41195],[-83.7719,35.559827],[-83.498053,35.565304],[-83.251591,35.718659],[-82.994175,35.773428],[-82.775097,35.997983],[-82.638174,36.063706],[-82.610789,35.965121],[-82.216449,36.156814],[-82.03571,36.118475],[-81.909741,36.304691],[-81.723525,36.353984],[-81.679709,36.589492],[-80.978661,36.562108]]]}},</v>
      </c>
    </row>
    <row r="36" spans="1:24" x14ac:dyDescent="0.3">
      <c r="A36" t="s">
        <v>314</v>
      </c>
      <c r="B36" t="s">
        <v>275</v>
      </c>
      <c r="C36" t="str">
        <f t="shared" si="3"/>
        <v>"housevalue":203300}</v>
      </c>
      <c r="D36" t="str">
        <f t="shared" ca="1" si="8"/>
        <v>"hv01":0,</v>
      </c>
      <c r="E36" t="str">
        <f t="shared" ca="1" si="8"/>
        <v>"hv02":0,</v>
      </c>
      <c r="F36" t="str">
        <f t="shared" ca="1" si="8"/>
        <v>"hv03":0,</v>
      </c>
      <c r="G36" t="str">
        <f t="shared" ca="1" si="8"/>
        <v>"hv04":0,</v>
      </c>
      <c r="H36" t="str">
        <f t="shared" ca="1" si="8"/>
        <v>"hv05":0,</v>
      </c>
      <c r="I36" t="str">
        <f t="shared" ca="1" si="8"/>
        <v>"hv06":0.045,</v>
      </c>
      <c r="J36" t="str">
        <f t="shared" ca="1" si="8"/>
        <v>"hv07":0.049,</v>
      </c>
      <c r="K36" t="str">
        <f t="shared" ca="1" si="8"/>
        <v>"hv08":0.004,</v>
      </c>
      <c r="L36" t="str">
        <f t="shared" ca="1" si="8"/>
        <v>"hv09":0.013,</v>
      </c>
      <c r="M36" t="str">
        <f t="shared" ca="1" si="8"/>
        <v>"hv10":0.041,</v>
      </c>
      <c r="N36" t="str">
        <f t="shared" ca="1" si="8"/>
        <v>"hv11":0.015,</v>
      </c>
      <c r="O36" t="str">
        <f t="shared" ca="1" si="8"/>
        <v>"hv12":0.07,</v>
      </c>
      <c r="P36" t="str">
        <f t="shared" ca="1" si="8"/>
        <v>"hv13":0.095,</v>
      </c>
      <c r="Q36" t="str">
        <f t="shared" ca="1" si="8"/>
        <v>"hv14":0.073,</v>
      </c>
      <c r="R36" t="str">
        <f t="shared" ca="1" si="8"/>
        <v>"hv15":0.063,</v>
      </c>
      <c r="S36" t="str">
        <f t="shared" ca="1" si="8"/>
        <v>"hv16":0.046,</v>
      </c>
      <c r="T36" t="str">
        <f t="shared" ca="1" si="9"/>
        <v>"hv17":0.017}</v>
      </c>
      <c r="U36" t="str">
        <f t="shared" ca="1" si="5"/>
        <v>"hv01":0,"hv02":0,"hv03":0,"hv04":0,"hv05":0,"hv06":0.045,"hv07":0.049,"hv08":0.004,"hv09":0.013,"hv10":0.041,"hv11":0.015,"hv12":0.07,"hv13":0.095,"hv14":0.073,"hv15":0.063,"hv16":0.046,"hv17":0.017}</v>
      </c>
      <c r="V36" t="s">
        <v>423</v>
      </c>
      <c r="X36" s="4" t="str">
        <f t="shared" si="4"/>
        <v xml:space="preserve">    {"type":"Feature","id":"38","properties":{"name":"North Dakota","hv01":0,"hv02":0,"hv03":0,"hv04":0,"hv05":0,"hv06":0.045,"hv07":0.049,"hv08":0.004,"hv09":0.013,"hv10":0.041,"hv11":0.015,"hv12":0.07,"hv13":0.095,"hv14":0.073,"hv15":0.063,"hv16":0.046,"hv17":0.017},"geometry":{"type":"Polygon","coordinates":[[[-97.228743,49.000239],[-97.097296,48.682577],[-97.16302,48.545653],[-97.130158,48.140359],[-97.053481,47.948667],[-96.856311,47.609096],[-96.823449,46.968294],[-96.785111,46.924479],[-96.801542,46.656109],[-96.719387,46.437031],[-96.598895,46.332969],[-96.560556,45.933153],[-104.047534,45.944106],[-104.042057,47.861036],[-104.047534,49.000239],[-97.228743,49.000239]]]}},</v>
      </c>
    </row>
    <row r="37" spans="1:24" x14ac:dyDescent="0.3">
      <c r="A37" t="s">
        <v>315</v>
      </c>
      <c r="B37" t="s">
        <v>234</v>
      </c>
      <c r="C37" t="str">
        <f t="shared" si="3"/>
        <v>"housevalue":135800}</v>
      </c>
      <c r="D37" t="str">
        <f t="shared" ca="1" si="8"/>
        <v>"hv01":0.05,</v>
      </c>
      <c r="E37" t="str">
        <f t="shared" ca="1" si="8"/>
        <v>"hv02":0.041,</v>
      </c>
      <c r="F37" t="str">
        <f t="shared" ca="1" si="8"/>
        <v>"hv03":0.041,</v>
      </c>
      <c r="G37" t="str">
        <f t="shared" ca="1" si="8"/>
        <v>"hv04":0.032,</v>
      </c>
      <c r="H37" t="str">
        <f t="shared" ca="1" si="8"/>
        <v>"hv05":0.022,</v>
      </c>
      <c r="I37" t="str">
        <f t="shared" ca="1" si="8"/>
        <v>"hv06":0,</v>
      </c>
      <c r="J37" t="str">
        <f t="shared" ca="1" si="8"/>
        <v>"hv07":-0.033,</v>
      </c>
      <c r="K37" t="str">
        <f t="shared" ca="1" si="8"/>
        <v>"hv08":-0.055,</v>
      </c>
      <c r="L37" t="str">
        <f t="shared" ca="1" si="8"/>
        <v>"hv09":-0.034,</v>
      </c>
      <c r="M37" t="str">
        <f t="shared" ca="1" si="8"/>
        <v>"hv10":-0.025,</v>
      </c>
      <c r="N37" t="str">
        <f t="shared" ca="1" si="8"/>
        <v>"hv11":-0.045,</v>
      </c>
      <c r="O37" t="str">
        <f t="shared" ca="1" si="8"/>
        <v>"hv12":0.004,</v>
      </c>
      <c r="P37" t="str">
        <f t="shared" ca="1" si="8"/>
        <v>"hv13":0.03,</v>
      </c>
      <c r="Q37" t="str">
        <f t="shared" ca="1" si="8"/>
        <v>"hv14":0.042,</v>
      </c>
      <c r="R37" t="str">
        <f t="shared" ca="1" si="8"/>
        <v>"hv15":0.04,</v>
      </c>
      <c r="S37" t="str">
        <f t="shared" ca="1" si="8"/>
        <v>"hv16":0.054,</v>
      </c>
      <c r="T37" t="str">
        <f t="shared" ca="1" si="9"/>
        <v>"hv17":0.069}</v>
      </c>
      <c r="U37" t="str">
        <f t="shared" ca="1" si="5"/>
        <v>"hv01":0.05,"hv02":0.041,"hv03":0.041,"hv04":0.032,"hv05":0.022,"hv06":0,"hv07":-0.033,"hv08":-0.055,"hv09":-0.034,"hv10":-0.025,"hv11":-0.045,"hv12":0.004,"hv13":0.03,"hv14":0.042,"hv15":0.04,"hv16":0.054,"hv17":0.069}</v>
      </c>
      <c r="V37" t="s">
        <v>424</v>
      </c>
      <c r="X37" s="4" t="str">
        <f t="shared" si="4"/>
        <v xml:space="preserve">    {"type":"Feature","id":"39","properties":{"name":"Ohio","hv01":0.05,"hv02":0.041,"hv03":0.041,"hv04":0.032,"hv05":0.022,"hv06":0,"hv07":-0.033,"hv08":-0.055,"hv09":-0.034,"hv10":-0.025,"hv11":-0.045,"hv12":0.004,"hv13":0.03,"hv14":0.042,"hv15":0.04,"hv16":0.054,"hv17":0.069},"geometry":{"type":"Polygon","coordinates":[[[-80.518598,41.978802],[-80.518598,40.636951],[-80.666475,40.582182],[-80.595275,40.472643],[-80.600752,40.319289],[-80.737675,40.078303],[-80.830783,39.711348],[-81.219646,39.388209],[-81.345616,39.344393],[-81.455155,39.410117],[-81.57017,39.267716],[-81.685186,39.273193],[-81.811156,39.0815],[-81.783771,38.966484],[-81.887833,38.873376],[-82.03571,39.026731],[-82.221926,38.785745],[-82.172634,38.632391],[-82.293127,38.577622],[-82.331465,38.446175],[-82.594358,38.424267],[-82.731282,38.561191],[-82.846298,38.588575],[-82.890113,38.758361],[-83.032514,38.725499],[-83.142052,38.626914],[-83.519961,38.703591],[-83.678792,38.632391],[-83.903347,38.769315],[-84.215533,38.807653],[-84.231963,38.895284],[-84.43461,39.103408],[-84.817996,39.103408],[-84.801565,40.500028],[-84.807042,41.694001],[-83.454238,41.732339],[-83.065375,41.595416],[-82.933929,41.513262],[-82.835344,41.589939],[-82.616266,41.431108],[-82.479343,41.381815],[-82.013803,41.513262],[-81.739956,41.485877],[-81.444201,41.672093],[-81.011523,41.852832],[-80.518598,41.978802],[-80.518598,41.978802]]]}},</v>
      </c>
    </row>
    <row r="38" spans="1:24" x14ac:dyDescent="0.3">
      <c r="A38" t="s">
        <v>316</v>
      </c>
      <c r="B38" t="s">
        <v>255</v>
      </c>
      <c r="C38" t="str">
        <f t="shared" si="3"/>
        <v>"housevalue":120600}</v>
      </c>
      <c r="D38" t="str">
        <f t="shared" ca="1" si="8"/>
        <v>"hv01":0.029,</v>
      </c>
      <c r="E38" t="str">
        <f t="shared" ca="1" si="8"/>
        <v>"hv02":0.059,</v>
      </c>
      <c r="F38" t="str">
        <f t="shared" ca="1" si="8"/>
        <v>"hv03":0.041,</v>
      </c>
      <c r="G38" t="str">
        <f t="shared" ca="1" si="8"/>
        <v>"hv04":0.048,</v>
      </c>
      <c r="H38" t="str">
        <f t="shared" ca="1" si="8"/>
        <v>"hv05":0.041,</v>
      </c>
      <c r="I38" t="str">
        <f t="shared" ca="1" si="8"/>
        <v>"hv06":0.049,</v>
      </c>
      <c r="J38" t="str">
        <f t="shared" ca="1" si="8"/>
        <v>"hv07":0.034,</v>
      </c>
      <c r="K38" t="str">
        <f t="shared" ca="1" si="8"/>
        <v>"hv08":0.013,</v>
      </c>
      <c r="L38" t="str">
        <f t="shared" ca="1" si="8"/>
        <v>"hv09":0.02,</v>
      </c>
      <c r="M38" t="str">
        <f t="shared" ca="1" si="8"/>
        <v>"hv10":-0.01,</v>
      </c>
      <c r="N38" t="str">
        <f t="shared" ca="1" si="8"/>
        <v>"hv11":-0.024,</v>
      </c>
      <c r="O38" t="str">
        <f t="shared" ca="1" si="8"/>
        <v>"hv12":0.001,</v>
      </c>
      <c r="P38" t="str">
        <f t="shared" ca="1" si="8"/>
        <v>"hv13":0.012,</v>
      </c>
      <c r="Q38" t="str">
        <f t="shared" ca="1" si="8"/>
        <v>"hv14":0.018,</v>
      </c>
      <c r="R38" t="str">
        <f t="shared" ca="1" si="8"/>
        <v>"hv15":0.045,</v>
      </c>
      <c r="S38" t="str">
        <f t="shared" ca="1" si="8"/>
        <v>"hv16":0.097,</v>
      </c>
      <c r="T38" t="str">
        <f t="shared" ca="1" si="9"/>
        <v>"hv17":0.058}</v>
      </c>
      <c r="U38" t="str">
        <f t="shared" ca="1" si="5"/>
        <v>"hv01":0.029,"hv02":0.059,"hv03":0.041,"hv04":0.048,"hv05":0.041,"hv06":0.049,"hv07":0.034,"hv08":0.013,"hv09":0.02,"hv10":-0.01,"hv11":-0.024,"hv12":0.001,"hv13":0.012,"hv14":0.018,"hv15":0.045,"hv16":0.097,"hv17":0.058}</v>
      </c>
      <c r="V38" t="s">
        <v>425</v>
      </c>
      <c r="X38" s="4" t="str">
        <f t="shared" si="4"/>
        <v xml:space="preserve">    {"type":"Feature","id":"40","properties":{"name":"Oklahoma","hv01":0.029,"hv02":0.059,"hv03":0.041,"hv04":0.048,"hv05":0.041,"hv06":0.049,"hv07":0.034,"hv08":0.013,"hv09":0.02,"hv10":-0.01,"hv11":-0.024,"hv12":0.001,"hv13":0.012,"hv14":0.018,"hv15":0.045,"hv16":0.097,"hv17":0.058},"geometry":{"type":"Polygon","coordinates":[[[-100.087706,37.000263],[-94.616242,37.000263],[-94.616242,36.501861],[-94.430026,35.395519],[-94.484796,33.637421],[-94.868182,33.74696],[-94.966767,33.861976],[-95.224183,33.960561],[-95.289906,33.87293],[-95.547322,33.878407],[-95.602092,33.933176],[-95.8376,33.834591],[-95.936185,33.889361],[-96.149786,33.840068],[-96.346956,33.686714],[-96.423633,33.774345],[-96.631756,33.845545],[-96.850834,33.845545],[-96.922034,33.960561],[-97.173974,33.736006],[-97.256128,33.861976],[-97.371143,33.823637],[-97.458774,33.905791],[-97.694283,33.982469],[-97.869545,33.851022],[-97.946222,33.987946],[-98.088623,34.004376],[-98.170777,34.113915],[-98.36247,34.157731],[-98.488439,34.064623],[-98.570593,34.146777],[-98.767763,34.135823],[-98.986841,34.223454],[-99.189488,34.2125],[-99.260688,34.404193],[-99.57835,34.415147],[-99.698843,34.382285],[-99.923398,34.573978],[-100.000075,34.563024],[-100.000075,36.501861],[-101.812942,36.501861],[-103.001438,36.501861],[-103.001438,37.000263],[-102.042974,36.994786],[-100.087706,37.000263]]]}},</v>
      </c>
    </row>
    <row r="39" spans="1:24" x14ac:dyDescent="0.3">
      <c r="A39" t="s">
        <v>317</v>
      </c>
      <c r="B39" t="s">
        <v>254</v>
      </c>
      <c r="C39" t="str">
        <f t="shared" si="3"/>
        <v>"housevalue":338300}</v>
      </c>
      <c r="D39" t="str">
        <f t="shared" ca="1" si="8"/>
        <v>"hv01":0.045,</v>
      </c>
      <c r="E39" t="str">
        <f t="shared" ca="1" si="8"/>
        <v>"hv02":0.05,</v>
      </c>
      <c r="F39" t="str">
        <f t="shared" ca="1" si="8"/>
        <v>"hv03":0.065,</v>
      </c>
      <c r="G39" t="str">
        <f t="shared" ca="1" si="8"/>
        <v>"hv04":0.125,</v>
      </c>
      <c r="H39" t="str">
        <f t="shared" ca="1" si="8"/>
        <v>"hv05":0.245,</v>
      </c>
      <c r="I39" t="str">
        <f t="shared" ca="1" si="8"/>
        <v>"hv06":0.101,</v>
      </c>
      <c r="J39" t="str">
        <f t="shared" ca="1" si="8"/>
        <v>"hv07":-0.015,</v>
      </c>
      <c r="K39" t="str">
        <f t="shared" ca="1" si="8"/>
        <v>"hv08":-0.082,</v>
      </c>
      <c r="L39" t="str">
        <f t="shared" ca="1" si="8"/>
        <v>"hv09":-0.07,</v>
      </c>
      <c r="M39" t="str">
        <f t="shared" ca="1" si="8"/>
        <v>"hv10":-0.08,</v>
      </c>
      <c r="N39" t="str">
        <f t="shared" ca="1" si="8"/>
        <v>"hv11":-0.064,</v>
      </c>
      <c r="O39" t="str">
        <f t="shared" ca="1" si="8"/>
        <v>"hv12":0.041,</v>
      </c>
      <c r="P39" t="str">
        <f t="shared" ca="1" si="8"/>
        <v>"hv13":0.11,</v>
      </c>
      <c r="Q39" t="str">
        <f t="shared" ca="1" si="8"/>
        <v>"hv14":0.075,</v>
      </c>
      <c r="R39" t="str">
        <f t="shared" ca="1" si="8"/>
        <v>"hv15":0.113,</v>
      </c>
      <c r="S39" t="str">
        <f t="shared" ca="1" si="8"/>
        <v>"hv16":0.13,</v>
      </c>
      <c r="T39" t="str">
        <f t="shared" ca="1" si="9"/>
        <v>"hv17":0.078}</v>
      </c>
      <c r="U39" t="str">
        <f t="shared" ca="1" si="5"/>
        <v>"hv01":0.045,"hv02":0.05,"hv03":0.065,"hv04":0.125,"hv05":0.245,"hv06":0.101,"hv07":-0.015,"hv08":-0.082,"hv09":-0.07,"hv10":-0.08,"hv11":-0.064,"hv12":0.041,"hv13":0.11,"hv14":0.075,"hv15":0.113,"hv16":0.13,"hv17":0.078}</v>
      </c>
      <c r="V39" t="s">
        <v>426</v>
      </c>
      <c r="X39" s="4" t="str">
        <f t="shared" si="4"/>
        <v xml:space="preserve">    {"type":"Feature","id":"41","properties":{"name":"Oregon","hv01":0.045,"hv02":0.05,"hv03":0.065,"hv04":0.125,"hv05":0.245,"hv06":0.101,"hv07":-0.015,"hv08":-0.082,"hv09":-0.07,"hv10":-0.08,"hv11":-0.064,"hv12":0.041,"hv13":0.11,"hv14":0.075,"hv15":0.113,"hv16":0.13,"hv17":0.078},"geometry":{"type":"Polygon","coordinates":[[[-123.211348,46.174138],[-123.11824,46.185092],[-122.904639,46.08103],[-122.811531,45.960537],[-122.762239,45.659305],[-122.247407,45.549767],[-121.809251,45.708598],[-121.535404,45.725029],[-121.217742,45.670259],[-121.18488,45.604536],[-120.637186,45.746937],[-120.505739,45.697644],[-120.209985,45.725029],[-119.963522,45.823614],[-119.525367,45.911245],[-119.125551,45.933153],[-118.988627,45.998876],[-116.918344,45.993399],[-116.78142,45.823614],[-116.545912,45.752413],[-116.463758,45.61549],[-116.671881,45.319735],[-116.732128,45.144473],[-116.847143,45.02398],[-116.830713,44.930872],[-116.934774,44.782995],[-117.038836,44.750133],[-117.241483,44.394132],[-117.170283,44.257209],[-116.97859,44.240778],[-116.896436,44.158624],[-117.027882,43.830007],[-117.027882,42.000709],[-118.698349,41.989755],[-120.001861,41.995232],[-121.037003,41.995232],[-122.378853,42.011663],[-123.233256,42.006186],[-124.213628,42.000709],[-124.356029,42.115725],[-124.432706,42.438865],[-124.416275,42.663419],[-124.553198,42.838681],[-124.454613,43.002989],[-124.383413,43.271359],[-124.235536,43.55616],[-124.169813,43.8081],[-124.060274,44.657025],[-124.076705,44.772041],[-123.97812,45.144473],[-123.939781,45.659305],[-123.994551,45.944106],[-123.945258,46.113892],[-123.545441,46.261769],[-123.370179,46.146753],[-123.211348,46.174138]]]}},</v>
      </c>
    </row>
    <row r="40" spans="1:24" x14ac:dyDescent="0.3">
      <c r="A40" t="s">
        <v>318</v>
      </c>
      <c r="B40" t="s">
        <v>233</v>
      </c>
      <c r="C40" t="str">
        <f t="shared" si="3"/>
        <v>"housevalue":170500}</v>
      </c>
      <c r="D40" t="str">
        <f t="shared" ca="1" si="8"/>
        <v>"hv01":0.089,</v>
      </c>
      <c r="E40" t="str">
        <f t="shared" ca="1" si="8"/>
        <v>"hv02":0.078,</v>
      </c>
      <c r="F40" t="str">
        <f t="shared" ca="1" si="8"/>
        <v>"hv03":0.108,</v>
      </c>
      <c r="G40" t="str">
        <f t="shared" ca="1" si="8"/>
        <v>"hv04":0.107,</v>
      </c>
      <c r="H40" t="str">
        <f t="shared" ca="1" si="8"/>
        <v>"hv05":0.094,</v>
      </c>
      <c r="I40" t="str">
        <f t="shared" ca="1" si="8"/>
        <v>"hv06":0.057,</v>
      </c>
      <c r="J40" t="str">
        <f t="shared" ca="1" si="8"/>
        <v>"hv07":0.012,</v>
      </c>
      <c r="K40" t="str">
        <f t="shared" ca="1" si="8"/>
        <v>"hv08":-0.028,</v>
      </c>
      <c r="L40" t="str">
        <f t="shared" ca="1" si="8"/>
        <v>"hv09":-0.017,</v>
      </c>
      <c r="M40" t="str">
        <f t="shared" ca="1" si="8"/>
        <v>"hv10":-0.025,</v>
      </c>
      <c r="N40" t="str">
        <f t="shared" ca="1" si="8"/>
        <v>"hv11":-0.042,</v>
      </c>
      <c r="O40" t="str">
        <f t="shared" ca="1" si="8"/>
        <v>"hv12":-0.003,</v>
      </c>
      <c r="P40" t="str">
        <f t="shared" ca="1" si="8"/>
        <v>"hv13":0.016,</v>
      </c>
      <c r="Q40" t="str">
        <f t="shared" ca="1" si="8"/>
        <v>"hv14":0.019,</v>
      </c>
      <c r="R40" t="str">
        <f t="shared" ca="1" si="8"/>
        <v>"hv15":0.026,</v>
      </c>
      <c r="S40" t="str">
        <f t="shared" ca="1" si="8"/>
        <v>"hv16":0.042,</v>
      </c>
      <c r="T40" t="str">
        <f t="shared" ca="1" si="9"/>
        <v>"hv17":0.057}</v>
      </c>
      <c r="U40" t="str">
        <f t="shared" ca="1" si="5"/>
        <v>"hv01":0.089,"hv02":0.078,"hv03":0.108,"hv04":0.107,"hv05":0.094,"hv06":0.057,"hv07":0.012,"hv08":-0.028,"hv09":-0.017,"hv10":-0.025,"hv11":-0.042,"hv12":-0.003,"hv13":0.016,"hv14":0.019,"hv15":0.026,"hv16":0.042,"hv17":0.057}</v>
      </c>
      <c r="V40" t="s">
        <v>427</v>
      </c>
      <c r="X40" s="4" t="str">
        <f t="shared" si="4"/>
        <v xml:space="preserve">    {"type":"Feature","id":"42","properties":{"name":"Pennsylvania","hv01":0.089,"hv02":0.078,"hv03":0.108,"hv04":0.107,"hv05":0.094,"hv06":0.057,"hv07":0.012,"hv08":-0.028,"hv09":-0.017,"hv10":-0.025,"hv11":-0.042,"hv12":-0.003,"hv13":0.016,"hv14":0.019,"hv15":0.026,"hv16":0.042,"hv17":0.057},"geometry":{"type":"Polygon","coordinates":[[[-79.76278,42.252649],[-79.76278,42.000709],[-75.35932,42.000709],[-75.249781,41.863786],[-75.173104,41.869263],[-75.052611,41.754247],[-75.074519,41.60637],[-74.89378,41.436584],[-74.740426,41.431108],[-74.69661,41.359907],[-74.828057,41.288707],[-74.882826,41.179168],[-75.134765,40.971045],[-75.052611,40.866983],[-75.205966,40.691721],[-75.195012,40.576705],[-75.069042,40.543843],[-75.058088,40.417874],[-74.773287,40.215227],[-74.82258,40.127596],[-75.129289,39.963288],[-75.145719,39.88661],[-75.414089,39.804456],[-75.616736,39.831841],[-75.786521,39.722302],[-79.477979,39.722302],[-80.518598,39.722302],[-80.518598,40.636951],[-80.518598,41.978802],[-80.518598,41.978802],[-80.332382,42.033571],[-79.76278,42.269079],[-79.76278,42.252649]]]}},</v>
      </c>
    </row>
    <row r="41" spans="1:24" x14ac:dyDescent="0.3">
      <c r="A41" t="s">
        <v>319</v>
      </c>
      <c r="B41" t="s">
        <v>270</v>
      </c>
      <c r="C41" t="str">
        <f t="shared" si="3"/>
        <v>"housevalue":276000}</v>
      </c>
      <c r="D41" t="str">
        <f t="shared" ca="1" si="8"/>
        <v>"hv01":0.165,</v>
      </c>
      <c r="E41" t="str">
        <f t="shared" ca="1" si="8"/>
        <v>"hv02":0.207,</v>
      </c>
      <c r="F41" t="str">
        <f t="shared" ca="1" si="8"/>
        <v>"hv03":0.206,</v>
      </c>
      <c r="G41" t="str">
        <f t="shared" ca="1" si="8"/>
        <v>"hv04":0.148,</v>
      </c>
      <c r="H41" t="str">
        <f t="shared" ca="1" si="8"/>
        <v>"hv05":0.052,</v>
      </c>
      <c r="I41" t="str">
        <f t="shared" ca="1" si="8"/>
        <v>"hv06":-0.027,</v>
      </c>
      <c r="J41" t="str">
        <f t="shared" ca="1" si="8"/>
        <v>"hv07":-0.059,</v>
      </c>
      <c r="K41" t="str">
        <f t="shared" ca="1" si="8"/>
        <v>"hv08":-0.114,</v>
      </c>
      <c r="L41" t="str">
        <f t="shared" ca="1" si="8"/>
        <v>"hv09":-0.063,</v>
      </c>
      <c r="M41" t="str">
        <f t="shared" ca="1" si="8"/>
        <v>"hv10":-0.016,</v>
      </c>
      <c r="N41" t="str">
        <f t="shared" ca="1" si="8"/>
        <v>"hv11":-0.084,</v>
      </c>
      <c r="O41" t="str">
        <f t="shared" ca="1" si="8"/>
        <v>"hv12":0.019,</v>
      </c>
      <c r="P41" t="str">
        <f t="shared" ca="1" si="8"/>
        <v>"hv13":0.027,</v>
      </c>
      <c r="Q41" t="str">
        <f t="shared" ca="1" si="8"/>
        <v>"hv14":0.036,</v>
      </c>
      <c r="R41" t="str">
        <f t="shared" ca="1" si="8"/>
        <v>"hv15":0.035,</v>
      </c>
      <c r="S41" t="str">
        <f t="shared" ca="1" si="8"/>
        <v>"hv16":0.07,</v>
      </c>
      <c r="T41" t="str">
        <f t="shared" ca="1" si="9"/>
        <v>"hv17":0.09}</v>
      </c>
      <c r="U41" t="str">
        <f t="shared" ca="1" si="5"/>
        <v>"hv01":0.165,"hv02":0.207,"hv03":0.206,"hv04":0.148,"hv05":0.052,"hv06":-0.027,"hv07":-0.059,"hv08":-0.114,"hv09":-0.063,"hv10":-0.016,"hv11":-0.084,"hv12":0.019,"hv13":0.027,"hv14":0.036,"hv15":0.035,"hv16":0.07,"hv17":0.09}</v>
      </c>
      <c r="V41" t="s">
        <v>428</v>
      </c>
      <c r="X41" s="4" t="str">
        <f t="shared" si="4"/>
        <v xml:space="preserve">    {"type":"Feature","id":"44","properties":{"name":"Rhode Island","hv01":0.165,"hv02":0.207,"hv03":0.206,"hv04":0.148,"hv05":0.052,"hv06":-0.027,"hv07":-0.059,"hv08":-0.114,"hv09":-0.063,"hv10":-0.016,"hv11":-0.084,"hv12":0.019,"hv13":0.027,"hv14":0.036,"hv15":0.035,"hv16":0.07,"hv17":0.09},"geometry":{"type":"MultiPolygon","coordinates":[[[[-71.196845,41.67757],[-71.120168,41.496831],[-71.317338,41.474923],[-71.196845,41.67757]]],[[[-71.530939,42.01714],[-71.383061,42.01714],[-71.328292,41.781632],[-71.22423,41.710431],[-71.344723,41.726862],[-71.448785,41.578985],[-71.481646,41.370861],[-71.859555,41.321569],[-71.799309,41.414677],[-71.799309,42.006186],[-71.530939,42.01714]]]]}},</v>
      </c>
    </row>
    <row r="42" spans="1:24" x14ac:dyDescent="0.3">
      <c r="A42" t="s">
        <v>320</v>
      </c>
      <c r="B42" t="s">
        <v>251</v>
      </c>
      <c r="C42" t="str">
        <f t="shared" si="3"/>
        <v>"housevalue":161800}</v>
      </c>
      <c r="D42" t="str">
        <f t="shared" ref="D42:S52" ca="1" si="10">CHAR(34)&amp;D$56&amp;CHAR(34)&amp;":"&amp;INDIRECT("HV_PCT_CHG!"&amp;D$1&amp;ROW($A42))&amp;","</f>
        <v>"hv01":0.027,</v>
      </c>
      <c r="E42" t="str">
        <f t="shared" ca="1" si="10"/>
        <v>"hv02":0.035,</v>
      </c>
      <c r="F42" t="str">
        <f t="shared" ca="1" si="10"/>
        <v>"hv03":0.05,</v>
      </c>
      <c r="G42" t="str">
        <f t="shared" ca="1" si="10"/>
        <v>"hv04":0.072,</v>
      </c>
      <c r="H42" t="str">
        <f t="shared" ca="1" si="10"/>
        <v>"hv05":0.087,</v>
      </c>
      <c r="I42" t="str">
        <f t="shared" ca="1" si="10"/>
        <v>"hv06":0.076,</v>
      </c>
      <c r="J42" t="str">
        <f t="shared" ca="1" si="10"/>
        <v>"hv07":-0.004,</v>
      </c>
      <c r="K42" t="str">
        <f t="shared" ca="1" si="10"/>
        <v>"hv08":-0.043,</v>
      </c>
      <c r="L42" t="str">
        <f t="shared" ca="1" si="10"/>
        <v>"hv09":-0.039,</v>
      </c>
      <c r="M42" t="str">
        <f t="shared" ca="1" si="10"/>
        <v>"hv10":-0.039,</v>
      </c>
      <c r="N42" t="str">
        <f t="shared" ca="1" si="10"/>
        <v>"hv11":-0.043,</v>
      </c>
      <c r="O42" t="str">
        <f t="shared" ca="1" si="10"/>
        <v>"hv12":0.003,</v>
      </c>
      <c r="P42" t="str">
        <f t="shared" ca="1" si="10"/>
        <v>"hv13":0.03,</v>
      </c>
      <c r="Q42" t="str">
        <f t="shared" ca="1" si="10"/>
        <v>"hv14":0.014,</v>
      </c>
      <c r="R42" t="str">
        <f t="shared" ca="1" si="10"/>
        <v>"hv15":0.044,</v>
      </c>
      <c r="S42" t="str">
        <f t="shared" ca="1" si="10"/>
        <v>"hv16":0.091,</v>
      </c>
      <c r="T42" t="str">
        <f t="shared" ca="1" si="9"/>
        <v>"hv17":0.06}</v>
      </c>
      <c r="U42" t="str">
        <f t="shared" ca="1" si="5"/>
        <v>"hv01":0.027,"hv02":0.035,"hv03":0.05,"hv04":0.072,"hv05":0.087,"hv06":0.076,"hv07":-0.004,"hv08":-0.043,"hv09":-0.039,"hv10":-0.039,"hv11":-0.043,"hv12":0.003,"hv13":0.03,"hv14":0.014,"hv15":0.044,"hv16":0.091,"hv17":0.06}</v>
      </c>
      <c r="V42" t="s">
        <v>429</v>
      </c>
      <c r="X42" s="4" t="str">
        <f t="shared" si="4"/>
        <v xml:space="preserve">    {"type":"Feature","id":"45","properties":{"name":"South Carolina","hv01":0.027,"hv02":0.035,"hv03":0.05,"hv04":0.072,"hv05":0.087,"hv06":0.076,"hv07":-0.004,"hv08":-0.043,"hv09":-0.039,"hv10":-0.039,"hv11":-0.043,"hv12":0.003,"hv13":0.03,"hv14":0.014,"hv15":0.044,"hv16":0.091,"hv17":0.06},"geometry":{"type":"Polygon","coordinates":[[[-82.764143,35.066903],[-82.550543,35.160011],[-82.276696,35.198349],[-81.044384,35.149057],[-81.038907,35.044995],[-80.934845,35.105241],[-80.781491,34.935456],[-80.797922,34.820441],[-79.675149,34.80401],[-78.541422,33.851022],[-78.716684,33.80173],[-78.935762,33.637421],[-79.149363,33.380005],[-79.187701,33.171881],[-79.357487,33.007573],[-79.582041,33.007573],[-79.631334,32.887081],[-79.866842,32.755634],[-79.998289,32.613234],[-80.206412,32.552987],[-80.430967,32.399633],[-80.452875,32.328433],[-80.660998,32.246279],[-80.885553,32.032678],[-81.115584,32.120309],[-81.121061,32.290094],[-81.279893,32.558464],[-81.416816,32.629664],[-81.42777,32.843265],[-81.493493,33.007573],[-81.761863,33.160928],[-81.937125,33.347144],[-81.926172,33.462159],[-82.194542,33.631944],[-82.325988,33.81816],[-82.55602,33.94413],[-82.714851,34.152254],[-82.747713,34.26727],[-82.901067,34.486347],[-83.005129,34.469916],[-83.339222,34.683517],[-83.322791,34.787579],[-83.109191,35.00118],[-82.764143,35.066903]]]}},</v>
      </c>
    </row>
    <row r="43" spans="1:24" x14ac:dyDescent="0.3">
      <c r="A43" t="s">
        <v>321</v>
      </c>
      <c r="B43" t="s">
        <v>273</v>
      </c>
      <c r="C43" t="str">
        <f t="shared" si="3"/>
        <v>"housevalue":183200}</v>
      </c>
      <c r="D43" t="str">
        <f t="shared" ca="1" si="10"/>
        <v>"hv01":0.138,</v>
      </c>
      <c r="E43" t="str">
        <f t="shared" ca="1" si="10"/>
        <v>"hv02":0.06,</v>
      </c>
      <c r="F43" t="str">
        <f t="shared" ca="1" si="10"/>
        <v>"hv03":0.014,</v>
      </c>
      <c r="G43" t="str">
        <f t="shared" ca="1" si="10"/>
        <v>"hv04":0.16,</v>
      </c>
      <c r="H43" t="str">
        <f t="shared" ca="1" si="10"/>
        <v>"hv05":0.086,</v>
      </c>
      <c r="I43" t="str">
        <f t="shared" ca="1" si="10"/>
        <v>"hv06":0.057,</v>
      </c>
      <c r="J43" t="str">
        <f t="shared" ca="1" si="10"/>
        <v>"hv07":0.004,</v>
      </c>
      <c r="K43" t="str">
        <f t="shared" ca="1" si="10"/>
        <v>"hv08":0.01,</v>
      </c>
      <c r="L43" t="str">
        <f t="shared" ca="1" si="10"/>
        <v>"hv09":-0.003,</v>
      </c>
      <c r="M43" t="str">
        <f t="shared" ca="1" si="10"/>
        <v>"hv10":0.001,</v>
      </c>
      <c r="N43" t="str">
        <f t="shared" ca="1" si="10"/>
        <v>"hv11":-0.017,</v>
      </c>
      <c r="O43" t="str">
        <f t="shared" ca="1" si="10"/>
        <v>"hv12":0.03,</v>
      </c>
      <c r="P43" t="str">
        <f t="shared" ca="1" si="10"/>
        <v>"hv13":0.032,</v>
      </c>
      <c r="Q43" t="str">
        <f t="shared" ca="1" si="10"/>
        <v>"hv14":0.035,</v>
      </c>
      <c r="R43" t="str">
        <f t="shared" ca="1" si="10"/>
        <v>"hv15":0.061,</v>
      </c>
      <c r="S43" t="str">
        <f t="shared" ca="1" si="10"/>
        <v>"hv16":0.047,</v>
      </c>
      <c r="T43" t="str">
        <f t="shared" ca="1" si="9"/>
        <v>"hv17":0.047}</v>
      </c>
      <c r="U43" t="str">
        <f t="shared" ca="1" si="5"/>
        <v>"hv01":0.138,"hv02":0.06,"hv03":0.014,"hv04":0.16,"hv05":0.086,"hv06":0.057,"hv07":0.004,"hv08":0.01,"hv09":-0.003,"hv10":0.001,"hv11":-0.017,"hv12":0.03,"hv13":0.032,"hv14":0.035,"hv15":0.061,"hv16":0.047,"hv17":0.047}</v>
      </c>
      <c r="V43" t="s">
        <v>430</v>
      </c>
      <c r="X43" s="4" t="str">
        <f t="shared" si="4"/>
        <v xml:space="preserve">    {"type":"Feature","id":"46","properties":{"name":"South Dakota","hv01":0.138,"hv02":0.06,"hv03":0.014,"hv04":0.16,"hv05":0.086,"hv06":0.057,"hv07":0.004,"hv08":0.01,"hv09":-0.003,"hv10":0.001,"hv11":-0.017,"hv12":0.03,"hv13":0.032,"hv14":0.035,"hv15":0.061,"hv16":0.047,"hv17":0.047},"geometry":{"type":"Polygon","coordinates":[[[-104.047534,45.944106],[-96.560556,45.933153],[-96.582464,45.818137],[-96.856311,45.604536],[-96.681049,45.412843],[-96.451017,45.297827],[-96.451017,43.501391],[-96.582464,43.479483],[-96.527695,43.397329],[-96.560556,43.222067],[-96.434587,43.123482],[-96.511264,43.052282],[-96.544125,42.855112],[-96.631756,42.707235],[-96.44554,42.488157],[-96.626279,42.515542],[-96.692003,42.657942],[-97.217789,42.844158],[-97.688806,42.844158],[-97.831206,42.866066],[-97.951699,42.767481],[-98.466531,42.94822],[-98.499393,42.997512],[-101.626726,42.997512],[-103.324578,43.002989],[-104.053011,43.002989],[-104.058488,44.996596],[-104.042057,44.996596],[-104.047534,45.944106]]]}},</v>
      </c>
    </row>
    <row r="44" spans="1:24" x14ac:dyDescent="0.3">
      <c r="A44" t="s">
        <v>322</v>
      </c>
      <c r="B44" t="s">
        <v>244</v>
      </c>
      <c r="C44" t="str">
        <f t="shared" si="3"/>
        <v>"housevalue":162000}</v>
      </c>
      <c r="D44" t="str">
        <f t="shared" ca="1" si="10"/>
        <v>"hv01":0.035,</v>
      </c>
      <c r="E44" t="str">
        <f t="shared" ca="1" si="10"/>
        <v>"hv02":0.032,</v>
      </c>
      <c r="F44" t="str">
        <f t="shared" ca="1" si="10"/>
        <v>"hv03":0.042,</v>
      </c>
      <c r="G44" t="str">
        <f t="shared" ca="1" si="10"/>
        <v>"hv04":0.073,</v>
      </c>
      <c r="H44" t="str">
        <f t="shared" ca="1" si="10"/>
        <v>"hv05":0.101,</v>
      </c>
      <c r="I44" t="str">
        <f t="shared" ca="1" si="10"/>
        <v>"hv06":0.067,</v>
      </c>
      <c r="J44" t="str">
        <f t="shared" ca="1" si="10"/>
        <v>"hv07":0.017,</v>
      </c>
      <c r="K44" t="str">
        <f t="shared" ca="1" si="10"/>
        <v>"hv08":-0.03,</v>
      </c>
      <c r="L44" t="str">
        <f t="shared" ca="1" si="10"/>
        <v>"hv09":-0.026,</v>
      </c>
      <c r="M44" t="str">
        <f t="shared" ca="1" si="10"/>
        <v>"hv10":-0.024,</v>
      </c>
      <c r="N44" t="str">
        <f t="shared" ca="1" si="10"/>
        <v>"hv11":-0.031,</v>
      </c>
      <c r="O44" t="str">
        <f t="shared" ca="1" si="10"/>
        <v>"hv12":0.004,</v>
      </c>
      <c r="P44" t="str">
        <f t="shared" ca="1" si="10"/>
        <v>"hv13":0.04,</v>
      </c>
      <c r="Q44" t="str">
        <f t="shared" ca="1" si="10"/>
        <v>"hv14":0.045,</v>
      </c>
      <c r="R44" t="str">
        <f t="shared" ca="1" si="10"/>
        <v>"hv15":0.061,</v>
      </c>
      <c r="S44" t="str">
        <f t="shared" ca="1" si="10"/>
        <v>"hv16":0.084,</v>
      </c>
      <c r="T44" t="str">
        <f t="shared" ca="1" si="9"/>
        <v>"hv17":0.08}</v>
      </c>
      <c r="U44" t="str">
        <f t="shared" ca="1" si="5"/>
        <v>"hv01":0.035,"hv02":0.032,"hv03":0.042,"hv04":0.073,"hv05":0.101,"hv06":0.067,"hv07":0.017,"hv08":-0.03,"hv09":-0.026,"hv10":-0.024,"hv11":-0.031,"hv12":0.004,"hv13":0.04,"hv14":0.045,"hv15":0.061,"hv16":0.084,"hv17":0.08}</v>
      </c>
      <c r="V44" t="s">
        <v>431</v>
      </c>
      <c r="X44" s="4" t="str">
        <f t="shared" si="4"/>
        <v xml:space="preserve">    {"type":"Feature","id":"47","properties":{"name":"Tennessee","hv01":0.035,"hv02":0.032,"hv03":0.042,"hv04":0.073,"hv05":0.101,"hv06":0.067,"hv07":0.017,"hv08":-0.03,"hv09":-0.026,"hv10":-0.024,"hv11":-0.031,"hv12":0.004,"hv13":0.04,"hv14":0.045,"hv15":0.061,"hv16":0.084,"hv17":0.08},"geometry":{"type":"Polygon","coordinates":[[[-88.054868,36.496384],[-88.071299,36.677123],[-87.852221,36.633308],[-86.592525,36.655216],[-85.486183,36.616877],[-85.289013,36.627831],[-84.544149,36.594969],[-83.689746,36.584015],[-83.673316,36.600446],[-81.679709,36.589492],[-81.723525,36.353984],[-81.909741,36.304691],[-82.03571,36.118475],[-82.216449,36.156814],[-82.610789,35.965121],[-82.638174,36.063706],[-82.775097,35.997983],[-82.994175,35.773428],[-83.251591,35.718659],[-83.498053,35.565304],[-83.7719,35.559827],[-84.018363,35.41195],[-84.09504,35.247642],[-84.29221,35.225734],[-84.319594,34.990226],[-85.606675,34.984749],[-87.359296,35.00118],[-88.202745,34.995703],[-88.471115,34.995703],[-90.311367,34.995703],[-90.212782,35.023087],[-90.114197,35.198349],[-90.130628,35.439335],[-89.944412,35.603643],[-89.911551,35.756997],[-89.763673,35.811767],[-89.730812,35.997983],[-89.533642,36.249922],[-89.539119,36.496384],[-89.484349,36.496384],[-89.418626,36.496384],[-89.298133,36.507338],[-88.054868,36.496384]]]}},</v>
      </c>
    </row>
    <row r="45" spans="1:24" x14ac:dyDescent="0.3">
      <c r="A45" t="s">
        <v>323</v>
      </c>
      <c r="B45" t="s">
        <v>229</v>
      </c>
      <c r="C45" t="str">
        <f t="shared" si="3"/>
        <v>"housevalue":188700}</v>
      </c>
      <c r="D45" t="str">
        <f t="shared" ca="1" si="10"/>
        <v>"hv01":0.017,</v>
      </c>
      <c r="E45" t="str">
        <f t="shared" ca="1" si="10"/>
        <v>"hv02":0.04,</v>
      </c>
      <c r="F45" t="str">
        <f t="shared" ca="1" si="10"/>
        <v>"hv03":0.023,</v>
      </c>
      <c r="G45" t="str">
        <f t="shared" ca="1" si="10"/>
        <v>"hv04":0.074,</v>
      </c>
      <c r="H45" t="str">
        <f t="shared" ca="1" si="10"/>
        <v>"hv05":0.026,</v>
      </c>
      <c r="I45" t="str">
        <f t="shared" ca="1" si="10"/>
        <v>"hv06":0.039,</v>
      </c>
      <c r="J45" t="str">
        <f t="shared" ca="1" si="10"/>
        <v>"hv07":0.03,</v>
      </c>
      <c r="K45" t="str">
        <f t="shared" ca="1" si="10"/>
        <v>"hv08":-0.045,</v>
      </c>
      <c r="L45" t="str">
        <f t="shared" ca="1" si="10"/>
        <v>"hv09":-0.014,</v>
      </c>
      <c r="M45" t="str">
        <f t="shared" ca="1" si="10"/>
        <v>"hv10":-0.015,</v>
      </c>
      <c r="N45" t="str">
        <f t="shared" ca="1" si="10"/>
        <v>"hv11":-0.023,</v>
      </c>
      <c r="O45" t="str">
        <f t="shared" ca="1" si="10"/>
        <v>"hv12":0.014,</v>
      </c>
      <c r="P45" t="str">
        <f t="shared" ca="1" si="10"/>
        <v>"hv13":0.045,</v>
      </c>
      <c r="Q45" t="str">
        <f t="shared" ca="1" si="10"/>
        <v>"hv14":0.057,</v>
      </c>
      <c r="R45" t="str">
        <f t="shared" ca="1" si="10"/>
        <v>"hv15":0.071,</v>
      </c>
      <c r="S45" t="str">
        <f t="shared" ca="1" si="10"/>
        <v>"hv16":0.109,</v>
      </c>
      <c r="T45" t="str">
        <f t="shared" ca="1" si="9"/>
        <v>"hv17":0.072}</v>
      </c>
      <c r="U45" t="str">
        <f t="shared" ca="1" si="5"/>
        <v>"hv01":0.017,"hv02":0.04,"hv03":0.023,"hv04":0.074,"hv05":0.026,"hv06":0.039,"hv07":0.03,"hv08":-0.045,"hv09":-0.014,"hv10":-0.015,"hv11":-0.023,"hv12":0.014,"hv13":0.045,"hv14":0.057,"hv15":0.071,"hv16":0.109,"hv17":0.072}</v>
      </c>
      <c r="V45" t="s">
        <v>432</v>
      </c>
      <c r="X45" s="4" t="str">
        <f t="shared" si="4"/>
        <v xml:space="preserve">    {"type":"Feature","id":"48","properties":{"name":"Texas","hv01":0.017,"hv02":0.04,"hv03":0.023,"hv04":0.074,"hv05":0.026,"hv06":0.039,"hv07":0.03,"hv08":-0.045,"hv09":-0.014,"hv10":-0.015,"hv11":-0.023,"hv12":0.014,"hv13":0.045,"hv14":0.057,"hv15":0.071,"hv16":0.109,"hv17":0.072},"geometry":{"type":"Polygon","coordinates":[[[-101.812942,36.501861],[-100.000075,36.501861],[-100.000075,34.563024],[-99.923398,34.573978],[-99.698843,34.382285],[-99.57835,34.415147],[-99.260688,34.404193],[-99.189488,34.2125],[-98.986841,34.223454],[-98.767763,34.135823],[-98.570593,34.146777],[-98.488439,34.064623],[-98.36247,34.157731],[-98.170777,34.113915],[-98.088623,34.004376],[-97.946222,33.987946],[-97.869545,33.851022],[-97.694283,33.982469],[-97.458774,33.905791],[-97.371143,33.823637],[-97.256128,33.861976],[-97.173974,33.736006],[-96.922034,33.960561],[-96.850834,33.845545],[-96.631756,33.845545],[-96.423633,33.774345],[-96.346956,33.686714],[-96.149786,33.840068],[-95.936185,33.889361],[-95.8376,33.834591],[-95.602092,33.933176],[-95.547322,33.878407],[-95.289906,33.87293],[-95.224183,33.960561],[-94.966767,33.861976],[-94.868182,33.74696],[-94.484796,33.637421],[-94.380734,33.544313],[-94.183564,33.593606],[-94.041164,33.54979],[-94.041164,33.018527],[-94.041164,31.994339],[-93.822086,31.775262],[-93.816609,31.556184],[-93.542762,31.15089],[-93.526331,30.93729],[-93.630393,30.679874],[-93.728978,30.575812],[-93.696116,30.438888],[-93.767317,30.334826],[-93.690639,30.143133],[-93.926148,29.787132],[-93.838517,29.688547],[-94.002825,29.68307],[-94.523134,29.546147],[-94.70935,29.622824],[-94.742212,29.787132],[-94.873659,29.672117],[-94.966767,29.699501],[-95.016059,29.557101],[-94.911997,29.496854],[-94.895566,29.310638],[-95.081782,29.113469],[-95.383014,28.867006],[-95.985477,28.604113],[-96.045724,28.647929],[-96.226463,28.582205],[-96.23194,28.642452],[-96.478402,28.598636],[-96.593418,28.724606],[-96.664618,28.697221],[-96.401725,28.439805],[-96.593418,28.357651],[-96.774157,28.406943],[-96.801542,28.226204],[-97.026096,28.039988],[-97.256128,27.694941],[-97.404005,27.333463],[-97.513544,27.360848],[-97.540929,27.229401],[-97.425913,27.262263],[-97.480682,26.99937],[-97.557359,26.988416],[-97.562836,26.840538],[-97.469728,26.758384],[-97.442344,26.457153],[-97.332805,26.353091],[-97.30542,26.161398],[-97.217789,25.991613],[-97.524498,25.887551],[-97.650467,26.018997],[-97.885976,26.06829],[-98.198161,26.057336],[-98.466531,26.221644],[-98.669178,26.238075],[-98.822533,26.369522],[-99.030656,26.413337],[-99.173057,26.539307],[-99.266165,26.840538],[-99.446904,27.021277],[-99.424996,27.174632],[-99.50715,27.33894],[-99.479765,27.48134],[-99.605735,27.640172],[-99.709797,27.656603],[-99.879582,27.799003],[-99.934351,27.979742],[-100.082229,28.14405],[-100.29583,28.280974],[-100.399891,28.582205],[-100.498476,28.66436],[-100.629923,28.905345],[-100.673738,29.102515],[-100.799708,29.244915],[-101.013309,29.370885],[-101.062601,29.458516],[-101.259771,29.535193],[-101.413125,29.754271],[-101.851281,29.803563],[-102.114174,29.792609],[-102.338728,29.869286],[-102.388021,29.765225],[-102.629006,29.732363],[-102.809745,29.524239],[-102.919284,29.190146],[-102.97953,29.184669],[-103.116454,28.987499],[-103.280762,28.982022],[-103.527224,29.135376],[-104.146119,29.381839],[-104.266611,29.513285],[-104.507597,29.639255],[-104.677382,29.924056],[-104.688336,30.181472],[-104.858121,30.389596],[-104.896459,30.570335],[-105.005998,30.685351],[-105.394861,30.855136],[-105.602985,31.085167],[-105.77277,31.167321],[-105.953509,31.364491],[-106.205448,31.468553],[-106.38071,31.731446],[-106.528588,31.786216],[-106.643603,31.901231],[-106.616219,31.999816],[-103.067161,31.999816],[-103.067161,33.002096],[-103.045254,34.01533],[-103.039777,36.501861],[-103.001438,36.501861],[-101.812942,36.501861]]]}},</v>
      </c>
    </row>
    <row r="46" spans="1:24" x14ac:dyDescent="0.3">
      <c r="A46" t="s">
        <v>324</v>
      </c>
      <c r="B46" t="s">
        <v>261</v>
      </c>
      <c r="C46" t="str">
        <f t="shared" si="3"/>
        <v>"housevalue":320900}</v>
      </c>
      <c r="D46" t="str">
        <f t="shared" ca="1" si="10"/>
        <v>"hv01":0.012,</v>
      </c>
      <c r="E46" t="str">
        <f t="shared" ca="1" si="10"/>
        <v>"hv02":0.001,</v>
      </c>
      <c r="F46" t="str">
        <f t="shared" ca="1" si="10"/>
        <v>"hv03":0.026,</v>
      </c>
      <c r="G46" t="str">
        <f t="shared" ca="1" si="10"/>
        <v>"hv04":-0.004,</v>
      </c>
      <c r="H46" t="str">
        <f t="shared" ca="1" si="10"/>
        <v>"hv05":0.071,</v>
      </c>
      <c r="I46" t="str">
        <f t="shared" ca="1" si="10"/>
        <v>"hv06":0.173,</v>
      </c>
      <c r="J46" t="str">
        <f t="shared" ca="1" si="10"/>
        <v>"hv07":0.146,</v>
      </c>
      <c r="K46" t="str">
        <f t="shared" ca="1" si="10"/>
        <v>"hv08":-0.023,</v>
      </c>
      <c r="L46" t="str">
        <f t="shared" ca="1" si="10"/>
        <v>"hv09":-0.082,</v>
      </c>
      <c r="M46" t="str">
        <f t="shared" ca="1" si="10"/>
        <v>"hv10":-0.068,</v>
      </c>
      <c r="N46" t="str">
        <f t="shared" ca="1" si="10"/>
        <v>"hv11":-0.05,</v>
      </c>
      <c r="O46" t="str">
        <f t="shared" ca="1" si="10"/>
        <v>"hv12":0.024,</v>
      </c>
      <c r="P46" t="str">
        <f t="shared" ca="1" si="10"/>
        <v>"hv13":0.097,</v>
      </c>
      <c r="Q46" t="str">
        <f t="shared" ca="1" si="10"/>
        <v>"hv14":0.056,</v>
      </c>
      <c r="R46" t="str">
        <f t="shared" ca="1" si="10"/>
        <v>"hv15":0.064,</v>
      </c>
      <c r="S46" t="str">
        <f t="shared" ca="1" si="10"/>
        <v>"hv16":0.084,</v>
      </c>
      <c r="T46" t="str">
        <f t="shared" ca="1" si="9"/>
        <v>"hv17":0.099}</v>
      </c>
      <c r="U46" t="str">
        <f t="shared" ca="1" si="5"/>
        <v>"hv01":0.012,"hv02":0.001,"hv03":0.026,"hv04":-0.004,"hv05":0.071,"hv06":0.173,"hv07":0.146,"hv08":-0.023,"hv09":-0.082,"hv10":-0.068,"hv11":-0.05,"hv12":0.024,"hv13":0.097,"hv14":0.056,"hv15":0.064,"hv16":0.084,"hv17":0.099}</v>
      </c>
      <c r="V46" t="s">
        <v>433</v>
      </c>
      <c r="X46" s="4" t="str">
        <f t="shared" si="4"/>
        <v xml:space="preserve">    {"type":"Feature","id":"49","properties":{"name":"Utah","hv01":0.012,"hv02":0.001,"hv03":0.026,"hv04":-0.004,"hv05":0.071,"hv06":0.173,"hv07":0.146,"hv08":-0.023,"hv09":-0.082,"hv10":-0.068,"hv11":-0.05,"hv12":0.024,"hv13":0.097,"hv14":0.056,"hv15":0.064,"hv16":0.084,"hv17":0.099},"geometry":{"type":"Polygon","coordinates":[[[-112.164359,41.995232],[-111.047063,42.000709],[-111.047063,40.998429],[-109.04798,40.998429],[-109.053457,39.125316],[-109.058934,38.27639],[-109.042503,38.166851],[-109.042503,37.000263],[-110.499369,37.00574],[-114.048427,37.000263],[-114.04295,41.995232],[-112.164359,41.995232]]]}},</v>
      </c>
    </row>
    <row r="47" spans="1:24" x14ac:dyDescent="0.3">
      <c r="A47" t="s">
        <v>325</v>
      </c>
      <c r="B47" t="s">
        <v>276</v>
      </c>
      <c r="C47" t="str">
        <f t="shared" si="3"/>
        <v>"housevalue":200000}</v>
      </c>
      <c r="D47" t="str">
        <f t="shared" ca="1" si="10"/>
        <v>"hv01":0.076,</v>
      </c>
      <c r="E47" t="str">
        <f t="shared" ca="1" si="10"/>
        <v>"hv02":0.096,</v>
      </c>
      <c r="F47" t="str">
        <f t="shared" ca="1" si="10"/>
        <v>"hv03":0.105,</v>
      </c>
      <c r="G47" t="str">
        <f t="shared" ca="1" si="10"/>
        <v>"hv04":0.126,</v>
      </c>
      <c r="H47" t="str">
        <f t="shared" ca="1" si="10"/>
        <v>"hv05":0.119,</v>
      </c>
      <c r="I47" t="str">
        <f t="shared" ca="1" si="10"/>
        <v>"hv06":0.041,</v>
      </c>
      <c r="J47" t="str">
        <f t="shared" ca="1" si="10"/>
        <v>"hv07":0.002,</v>
      </c>
      <c r="K47" t="str">
        <f t="shared" ca="1" si="10"/>
        <v>"hv08":-0.036,</v>
      </c>
      <c r="L47" t="str">
        <f t="shared" ca="1" si="10"/>
        <v>"hv09":-0.037,</v>
      </c>
      <c r="M47" t="str">
        <f t="shared" ca="1" si="10"/>
        <v>"hv10":0.006,</v>
      </c>
      <c r="N47" t="str">
        <f t="shared" ca="1" si="10"/>
        <v>"hv11":-0.001,</v>
      </c>
      <c r="O47" t="str">
        <f t="shared" ca="1" si="10"/>
        <v>"hv12":-0.001,</v>
      </c>
      <c r="P47" t="str">
        <f t="shared" ca="1" si="10"/>
        <v>"hv13":0.011,</v>
      </c>
      <c r="Q47" t="str">
        <f t="shared" ca="1" si="10"/>
        <v>"hv14":0.012,</v>
      </c>
      <c r="R47" t="str">
        <f t="shared" ca="1" si="10"/>
        <v>"hv15":0,</v>
      </c>
      <c r="S47" t="str">
        <f t="shared" ca="1" si="10"/>
        <v>"hv16":0.022,</v>
      </c>
      <c r="T47" t="str">
        <f t="shared" ca="1" si="9"/>
        <v>"hv17":0.036}</v>
      </c>
      <c r="U47" t="str">
        <f t="shared" ca="1" si="5"/>
        <v>"hv01":0.076,"hv02":0.096,"hv03":0.105,"hv04":0.126,"hv05":0.119,"hv06":0.041,"hv07":0.002,"hv08":-0.036,"hv09":-0.037,"hv10":0.006,"hv11":-0.001,"hv12":-0.001,"hv13":0.011,"hv14":0.012,"hv15":0,"hv16":0.022,"hv17":0.036}</v>
      </c>
      <c r="V47" t="s">
        <v>434</v>
      </c>
      <c r="X47" s="4" t="str">
        <f t="shared" si="4"/>
        <v xml:space="preserve">    {"type":"Feature","id":"50","properties":{"name":"Vermont","hv01":0.076,"hv02":0.096,"hv03":0.105,"hv04":0.126,"hv05":0.119,"hv06":0.041,"hv07":0.002,"hv08":-0.036,"hv09":-0.037,"hv10":0.006,"hv11":-0.001,"hv12":-0.001,"hv13":0.011,"hv14":0.012,"hv15":0,"hv16":0.022,"hv17":0.036},"geometry":{"type":"Polygon","coordinates":[[[-71.503554,45.013027],[-71.4926,44.914442],[-71.629524,44.750133],[-71.536416,44.585825],[-71.700724,44.41604],[-72.034817,44.322932],[-72.02934,44.07647],[-72.116971,43.994316],[-72.204602,43.769761],[-72.379864,43.572591],[-72.456542,43.150867],[-72.445588,43.008466],[-72.533219,42.953697],[-72.544173,42.80582],[-72.456542,42.729142],[-73.267129,42.745573],[-73.278083,42.833204],[-73.245221,43.523299],[-73.404052,43.687607],[-73.349283,43.769761],[-73.436914,44.043608],[-73.321898,44.246255],[-73.294514,44.437948],[-73.387622,44.618687],[-73.332852,44.804903],[-73.343806,45.013027],[-72.308664,45.002073],[-71.503554,45.013027]]]}},</v>
      </c>
    </row>
    <row r="48" spans="1:24" x14ac:dyDescent="0.3">
      <c r="A48" t="s">
        <v>326</v>
      </c>
      <c r="B48" t="s">
        <v>239</v>
      </c>
      <c r="C48" t="str">
        <f t="shared" si="3"/>
        <v>"housevalue":252900}</v>
      </c>
      <c r="D48" t="str">
        <f t="shared" ca="1" si="10"/>
        <v>"hv01":0.083,</v>
      </c>
      <c r="E48" t="str">
        <f t="shared" ca="1" si="10"/>
        <v>"hv02":0.101,</v>
      </c>
      <c r="F48" t="str">
        <f t="shared" ca="1" si="10"/>
        <v>"hv03":0.127,</v>
      </c>
      <c r="G48" t="str">
        <f t="shared" ca="1" si="10"/>
        <v>"hv04":0.24,</v>
      </c>
      <c r="H48" t="str">
        <f t="shared" ca="1" si="10"/>
        <v>"hv05":0.164,</v>
      </c>
      <c r="I48" t="str">
        <f t="shared" ca="1" si="10"/>
        <v>"hv06":0.017,</v>
      </c>
      <c r="J48" t="str">
        <f t="shared" ca="1" si="10"/>
        <v>"hv07":-0.029,</v>
      </c>
      <c r="K48" t="str">
        <f t="shared" ca="1" si="10"/>
        <v>"hv08":-0.091,</v>
      </c>
      <c r="L48" t="str">
        <f t="shared" ca="1" si="10"/>
        <v>"hv09":-0.061,</v>
      </c>
      <c r="M48" t="str">
        <f t="shared" ca="1" si="10"/>
        <v>"hv10":-0.032,</v>
      </c>
      <c r="N48" t="str">
        <f t="shared" ca="1" si="10"/>
        <v>"hv11":-0.036,</v>
      </c>
      <c r="O48" t="str">
        <f t="shared" ca="1" si="10"/>
        <v>"hv12":0.027,</v>
      </c>
      <c r="P48" t="str">
        <f t="shared" ca="1" si="10"/>
        <v>"hv13":0.037,</v>
      </c>
      <c r="Q48" t="str">
        <f t="shared" ca="1" si="10"/>
        <v>"hv14":0.024,</v>
      </c>
      <c r="R48" t="str">
        <f t="shared" ca="1" si="10"/>
        <v>"hv15":0.022,</v>
      </c>
      <c r="S48" t="str">
        <f t="shared" ca="1" si="10"/>
        <v>"hv16":0.039,</v>
      </c>
      <c r="T48" t="str">
        <f t="shared" ca="1" si="9"/>
        <v>"hv17":0.041}</v>
      </c>
      <c r="U48" t="str">
        <f t="shared" ca="1" si="5"/>
        <v>"hv01":0.083,"hv02":0.101,"hv03":0.127,"hv04":0.24,"hv05":0.164,"hv06":0.017,"hv07":-0.029,"hv08":-0.091,"hv09":-0.061,"hv10":-0.032,"hv11":-0.036,"hv12":0.027,"hv13":0.037,"hv14":0.024,"hv15":0.022,"hv16":0.039,"hv17":0.041}</v>
      </c>
      <c r="V48" t="s">
        <v>435</v>
      </c>
      <c r="X48" s="4" t="str">
        <f t="shared" si="4"/>
        <v xml:space="preserve">    {"type":"Feature","id":"51","properties":{"name":"Virginia","hv01":0.083,"hv02":0.101,"hv03":0.127,"hv04":0.24,"hv05":0.164,"hv06":0.017,"hv07":-0.029,"hv08":-0.091,"hv09":-0.061,"hv10":-0.032,"hv11":-0.036,"hv12":0.027,"hv13":0.037,"hv14":0.024,"hv15":0.022,"hv16":0.039,"hv17":0.041},"geometry":{"type":"MultiPolygon","coordinates":[[[[-75.397659,38.013497],[-75.244304,38.029928],[-75.375751,37.860142],[-75.512674,37.799896],[-75.594828,37.569865],[-75.802952,37.197433],[-75.972737,37.120755],[-76.027507,37.257679],[-75.939876,37.564388],[-75.671506,37.95325],[-75.397659,38.013497]]],[[[-76.016553,37.95325],[-75.994645,37.95325],[-76.043938,37.95325],[-76.016553,37.95325]]],[[[-78.349729,39.464886],[-77.82942,39.130793],[-77.719881,39.322485],[-77.566527,39.306055],[-77.456988,39.223901],[-77.456988,39.076023],[-77.248864,39.026731],[-77.117418,38.933623],[-77.040741,38.791222],[-77.128372,38.632391],[-77.248864,38.588575],[-77.325542,38.446175],[-77.281726,38.342113],[-77.013356,38.374975],[-76.964064,38.216144],[-76.613539,38.15042],[-76.514954,38.024451],[-76.235631,37.887527],[-76.3616,37.608203],[-76.246584,37.389126],[-76.383508,37.285064],[-76.399939,37.159094],[-76.273969,37.082417],[-76.410893,36.961924],[-76.619016,37.120755],[-76.668309,37.065986],[-76.48757,36.95097],[-75.994645,36.923586],[-75.868676,36.551154],[-79.510841,36.5402],[-80.294043,36.545677],[-80.978661,36.562108],[-81.679709,36.589492],[-83.673316,36.600446],[-83.136575,36.742847],[-83.070852,36.852385],[-82.879159,36.890724],[-82.868205,36.978355],[-82.720328,37.044078],[-82.720328,37.120755],[-82.353373,37.268633],[-81.969987,37.537003],[-81.986418,37.454849],[-81.849494,37.285064],[-81.679709,37.20291],[-81.55374,37.208387],[-81.362047,37.339833],[-81.225123,37.235771],[-80.967707,37.290541],[-80.513121,37.482234],[-80.474782,37.421987],[-80.29952,37.509618],[-80.294043,37.690357],[-80.184505,37.849189],[-79.998289,37.997066],[-79.921611,38.177805],[-79.724442,38.364021],[-79.647764,38.594052],[-79.477979,38.457129],[-79.313671,38.413313],[-79.209609,38.495467],[-78.996008,38.851469],[-78.870039,38.763838],[-78.404499,39.169131],[-78.349729,39.464886]]]]}},</v>
      </c>
    </row>
    <row r="49" spans="1:24" x14ac:dyDescent="0.3">
      <c r="A49" t="s">
        <v>327</v>
      </c>
      <c r="B49" t="s">
        <v>240</v>
      </c>
      <c r="C49" t="str">
        <f t="shared" si="3"/>
        <v>"housevalue":375200}</v>
      </c>
      <c r="D49" t="str">
        <f t="shared" ca="1" si="10"/>
        <v>"hv01":0.048,</v>
      </c>
      <c r="E49" t="str">
        <f t="shared" ca="1" si="10"/>
        <v>"hv02":0.031,</v>
      </c>
      <c r="F49" t="str">
        <f t="shared" ca="1" si="10"/>
        <v>"hv03":0.081,</v>
      </c>
      <c r="G49" t="str">
        <f t="shared" ca="1" si="10"/>
        <v>"hv04":0.143,</v>
      </c>
      <c r="H49" t="str">
        <f t="shared" ca="1" si="10"/>
        <v>"hv05":0.189,</v>
      </c>
      <c r="I49" t="str">
        <f t="shared" ca="1" si="10"/>
        <v>"hv06":0.117,</v>
      </c>
      <c r="J49" t="str">
        <f t="shared" ca="1" si="10"/>
        <v>"hv07":0,</v>
      </c>
      <c r="K49" t="str">
        <f t="shared" ca="1" si="10"/>
        <v>"hv08":-0.087,</v>
      </c>
      <c r="L49" t="str">
        <f t="shared" ca="1" si="10"/>
        <v>"hv09":-0.086,</v>
      </c>
      <c r="M49" t="str">
        <f t="shared" ca="1" si="10"/>
        <v>"hv10":-0.068,</v>
      </c>
      <c r="N49" t="str">
        <f t="shared" ca="1" si="10"/>
        <v>"hv11":-0.08,</v>
      </c>
      <c r="O49" t="str">
        <f t="shared" ca="1" si="10"/>
        <v>"hv12":0.029,</v>
      </c>
      <c r="P49" t="str">
        <f t="shared" ca="1" si="10"/>
        <v>"hv13":0.092,</v>
      </c>
      <c r="Q49" t="str">
        <f t="shared" ca="1" si="10"/>
        <v>"hv14":0.065,</v>
      </c>
      <c r="R49" t="str">
        <f t="shared" ca="1" si="10"/>
        <v>"hv15":0.097,</v>
      </c>
      <c r="S49" t="str">
        <f t="shared" ca="1" si="10"/>
        <v>"hv16":0.124,</v>
      </c>
      <c r="T49" t="str">
        <f t="shared" ca="1" si="9"/>
        <v>"hv17":0.107}</v>
      </c>
      <c r="U49" t="str">
        <f t="shared" ca="1" si="5"/>
        <v>"hv01":0.048,"hv02":0.031,"hv03":0.081,"hv04":0.143,"hv05":0.189,"hv06":0.117,"hv07":0,"hv08":-0.087,"hv09":-0.086,"hv10":-0.068,"hv11":-0.08,"hv12":0.029,"hv13":0.092,"hv14":0.065,"hv15":0.097,"hv16":0.124,"hv17":0.107}</v>
      </c>
      <c r="V49" t="s">
        <v>436</v>
      </c>
      <c r="X49" s="4" t="str">
        <f t="shared" si="4"/>
        <v xml:space="preserve">    {"type":"Feature","id":"53","properties":{"name":"Washington","hv01":0.048,"hv02":0.031,"hv03":0.081,"hv04":0.143,"hv05":0.189,"hv06":0.117,"hv07":0,"hv08":-0.087,"hv09":-0.086,"hv10":-0.068,"hv11":-0.08,"hv12":0.029,"hv13":0.092,"hv14":0.065,"hv15":0.097,"hv16":0.124,"hv17":0.107},"geometry":{"type":"MultiPolygon","coordinates":[[[[-117.033359,49.000239],[-117.044313,47.762451],[-117.038836,46.426077],[-117.055267,46.343923],[-116.92382,46.168661],[-116.918344,45.993399],[-118.988627,45.998876],[-119.125551,45.933153],[-119.525367,45.911245],[-119.963522,45.823614],[-120.209985,45.725029],[-120.505739,45.697644],[-120.637186,45.746937],[-121.18488,45.604536],[-121.217742,45.670259],[-121.535404,45.725029],[-121.809251,45.708598],[-122.247407,45.549767],[-122.762239,45.659305],[-122.811531,45.960537],[-122.904639,46.08103],[-123.11824,46.185092],[-123.211348,46.174138],[-123.370179,46.146753],[-123.545441,46.261769],[-123.72618,46.300108],[-123.874058,46.239861],[-124.065751,46.327492],[-124.027412,46.464416],[-123.895966,46.535616],[-124.098612,46.74374],[-124.235536,47.285957],[-124.31769,47.357157],[-124.427229,47.740543],[-124.624399,47.88842],[-124.706553,48.184175],[-124.597014,48.381345],[-124.394367,48.288237],[-123.983597,48.162267],[-123.704273,48.167744],[-123.424949,48.118452],[-123.162056,48.167744],[-123.036086,48.080113],[-122.800578,48.08559],[-122.636269,47.866512],[-122.515777,47.882943],[-122.493869,47.587189],[-122.422669,47.318818],[-122.324084,47.346203],[-122.422669,47.576235],[-122.395284,47.800789],[-122.230976,48.030821],[-122.362422,48.123929],[-122.373376,48.288237],[-122.471961,48.468976],[-122.422669,48.600422],[-122.488392,48.753777],[-122.647223,48.775685],[-122.795101,48.8907],[-122.756762,49.000239],[-117.033359,49.000239]]],[[[-122.718423,48.310145],[-122.586977,48.35396],[-122.608885,48.151313],[-122.767716,48.227991],[-122.718423,48.310145]]],[[[-123.025132,48.583992],[-122.915593,48.715438],[-122.767716,48.556607],[-122.811531,48.419683],[-123.041563,48.458022],[-123.025132,48.583992]]]]}},</v>
      </c>
    </row>
    <row r="50" spans="1:24" x14ac:dyDescent="0.3">
      <c r="A50" t="s">
        <v>328</v>
      </c>
      <c r="B50" t="s">
        <v>264</v>
      </c>
      <c r="C50" t="str">
        <f t="shared" si="3"/>
        <v>"housevalue":96800}</v>
      </c>
      <c r="D50" t="str">
        <f t="shared" ca="1" si="10"/>
        <v>"hv01":0.025,</v>
      </c>
      <c r="E50" t="str">
        <f t="shared" ca="1" si="10"/>
        <v>"hv02":0.073,</v>
      </c>
      <c r="F50" t="str">
        <f t="shared" ca="1" si="10"/>
        <v>"hv03":0.046,</v>
      </c>
      <c r="G50" t="str">
        <f t="shared" ca="1" si="10"/>
        <v>"hv04":0.125,</v>
      </c>
      <c r="H50" t="str">
        <f t="shared" ca="1" si="10"/>
        <v>"hv05":0.049,</v>
      </c>
      <c r="I50" t="str">
        <f t="shared" ca="1" si="10"/>
        <v>"hv06":0.038,</v>
      </c>
      <c r="J50" t="str">
        <f t="shared" ca="1" si="10"/>
        <v>"hv07":-0.007,</v>
      </c>
      <c r="K50" t="str">
        <f t="shared" ca="1" si="10"/>
        <v>"hv08":-0.023,</v>
      </c>
      <c r="L50" t="str">
        <f t="shared" ca="1" si="10"/>
        <v>"hv09":-0.017,</v>
      </c>
      <c r="M50" t="str">
        <f t="shared" ca="1" si="10"/>
        <v>"hv10":0.001,</v>
      </c>
      <c r="N50" t="str">
        <f t="shared" ca="1" si="10"/>
        <v>"hv11":-0.014,</v>
      </c>
      <c r="O50" t="str">
        <f t="shared" ca="1" si="10"/>
        <v>"hv12":0.014,</v>
      </c>
      <c r="P50" t="str">
        <f t="shared" ca="1" si="10"/>
        <v>"hv13":0.03,</v>
      </c>
      <c r="Q50" t="str">
        <f t="shared" ca="1" si="10"/>
        <v>"hv14":0.018,</v>
      </c>
      <c r="R50" t="str">
        <f t="shared" ca="1" si="10"/>
        <v>"hv15":0.053,</v>
      </c>
      <c r="S50" t="str">
        <f t="shared" ca="1" si="10"/>
        <v>"hv16":0.017,</v>
      </c>
      <c r="T50" t="str">
        <f t="shared" ca="1" si="9"/>
        <v>"hv17":0.021}</v>
      </c>
      <c r="U50" t="str">
        <f t="shared" ca="1" si="5"/>
        <v>"hv01":0.025,"hv02":0.073,"hv03":0.046,"hv04":0.125,"hv05":0.049,"hv06":0.038,"hv07":-0.007,"hv08":-0.023,"hv09":-0.017,"hv10":0.001,"hv11":-0.014,"hv12":0.014,"hv13":0.03,"hv14":0.018,"hv15":0.053,"hv16":0.017,"hv17":0.021}</v>
      </c>
      <c r="V50" t="s">
        <v>437</v>
      </c>
      <c r="X50" s="4" t="str">
        <f t="shared" si="4"/>
        <v xml:space="preserve">    {"type":"Feature","id":"54","properties":{"name":"West Virginia","hv01":0.025,"hv02":0.073,"hv03":0.046,"hv04":0.125,"hv05":0.049,"hv06":0.038,"hv07":-0.007,"hv08":-0.023,"hv09":-0.017,"hv10":0.001,"hv11":-0.014,"hv12":0.014,"hv13":0.03,"hv14":0.018,"hv15":0.053,"hv16":0.017,"hv17":0.021},"geometry":{"type":"Polygon","coordinates":[[[-80.518598,40.636951],[-80.518598,39.722302],[-79.477979,39.722302],[-79.488933,39.20747],[-79.291763,39.300578],[-79.094593,39.470363],[-78.963147,39.437501],[-78.765977,39.585379],[-78.470222,39.514178],[-78.431884,39.623717],[-78.267575,39.61824],[-78.174467,39.694917],[-78.004682,39.601809],[-77.834897,39.601809],[-77.719881,39.322485],[-77.82942,39.130793],[-78.349729,39.464886],[-78.404499,39.169131],[-78.870039,38.763838],[-78.996008,38.851469],[-79.209609,38.495467],[-79.313671,38.413313],[-79.477979,38.457129],[-79.647764,38.594052],[-79.724442,38.364021],[-79.921611,38.177805],[-79.998289,37.997066],[-80.184505,37.849189],[-80.294043,37.690357],[-80.29952,37.509618],[-80.474782,37.421987],[-80.513121,37.482234],[-80.967707,37.290541],[-81.225123,37.235771],[-81.362047,37.339833],[-81.55374,37.208387],[-81.679709,37.20291],[-81.849494,37.285064],[-81.986418,37.454849],[-81.969987,37.537003],[-82.101434,37.553434],[-82.293127,37.668449],[-82.342419,37.783465],[-82.50125,37.931343],[-82.621743,38.123036],[-82.594358,38.424267],[-82.331465,38.446175],[-82.293127,38.577622],[-82.172634,38.632391],[-82.221926,38.785745],[-82.03571,39.026731],[-81.887833,38.873376],[-81.783771,38.966484],[-81.811156,39.0815],[-81.685186,39.273193],[-81.57017,39.267716],[-81.455155,39.410117],[-81.345616,39.344393],[-81.219646,39.388209],[-80.830783,39.711348],[-80.737675,40.078303],[-80.600752,40.319289],[-80.595275,40.472643],[-80.666475,40.582182],[-80.518598,40.636951]]]}},</v>
      </c>
    </row>
    <row r="51" spans="1:24" x14ac:dyDescent="0.3">
      <c r="A51" t="s">
        <v>329</v>
      </c>
      <c r="B51" t="s">
        <v>247</v>
      </c>
      <c r="C51" t="str">
        <f t="shared" si="3"/>
        <v>"housevalue":181800}</v>
      </c>
      <c r="D51" t="str">
        <f t="shared" ca="1" si="10"/>
        <v>"hv01":0.064,</v>
      </c>
      <c r="E51" t="str">
        <f t="shared" ca="1" si="10"/>
        <v>"hv02":0.06,</v>
      </c>
      <c r="F51" t="str">
        <f t="shared" ca="1" si="10"/>
        <v>"hv03":0.063,</v>
      </c>
      <c r="G51" t="str">
        <f t="shared" ca="1" si="10"/>
        <v>"hv04":0.07,</v>
      </c>
      <c r="H51" t="str">
        <f t="shared" ca="1" si="10"/>
        <v>"hv05":-0.019,</v>
      </c>
      <c r="I51" t="str">
        <f t="shared" ca="1" si="10"/>
        <v>"hv06":0.019,</v>
      </c>
      <c r="J51" t="str">
        <f t="shared" ca="1" si="10"/>
        <v>"hv07":0.001,</v>
      </c>
      <c r="K51" t="str">
        <f t="shared" ca="1" si="10"/>
        <v>"hv08":-0.039,</v>
      </c>
      <c r="L51" t="str">
        <f t="shared" ca="1" si="10"/>
        <v>"hv09":-0.033,</v>
      </c>
      <c r="M51" t="str">
        <f t="shared" ca="1" si="10"/>
        <v>"hv10":-0.037,</v>
      </c>
      <c r="N51" t="str">
        <f t="shared" ca="1" si="10"/>
        <v>"hv11":-0.035,</v>
      </c>
      <c r="O51" t="str">
        <f t="shared" ca="1" si="10"/>
        <v>"hv12":0.002,</v>
      </c>
      <c r="P51" t="str">
        <f t="shared" ca="1" si="10"/>
        <v>"hv13":0.042,</v>
      </c>
      <c r="Q51" t="str">
        <f t="shared" ca="1" si="10"/>
        <v>"hv14":0.014,</v>
      </c>
      <c r="R51" t="str">
        <f t="shared" ca="1" si="10"/>
        <v>"hv15":0.042,</v>
      </c>
      <c r="S51" t="str">
        <f t="shared" ca="1" si="10"/>
        <v>"hv16":0.061,</v>
      </c>
      <c r="T51" t="str">
        <f t="shared" ca="1" si="9"/>
        <v>"hv17":0.066}</v>
      </c>
      <c r="U51" t="str">
        <f t="shared" ca="1" si="5"/>
        <v>"hv01":0.064,"hv02":0.06,"hv03":0.063,"hv04":0.07,"hv05":-0.019,"hv06":0.019,"hv07":0.001,"hv08":-0.039,"hv09":-0.033,"hv10":-0.037,"hv11":-0.035,"hv12":0.002,"hv13":0.042,"hv14":0.014,"hv15":0.042,"hv16":0.061,"hv17":0.066}</v>
      </c>
      <c r="V51" t="s">
        <v>438</v>
      </c>
      <c r="X51" s="4" t="str">
        <f t="shared" si="4"/>
        <v xml:space="preserve">    {"type":"Feature","id":"55","properties":{"name":"Wisconsin","hv01":0.064,"hv02":0.06,"hv03":0.063,"hv04":0.07,"hv05":-0.019,"hv06":0.019,"hv07":0.001,"hv08":-0.039,"hv09":-0.033,"hv10":-0.037,"hv11":-0.035,"hv12":0.002,"hv13":0.042,"hv14":0.014,"hv15":0.042,"hv16":0.061,"hv17":0.066},"geometry":{"type":"Polygon","coordinates":[[[-90.415429,46.568478],[-90.229213,46.508231],[-90.119674,46.338446],[-89.09001,46.135799],[-88.662808,45.987922],[-88.531362,46.020784],[-88.10416,45.922199],[-87.989145,45.796229],[-87.781021,45.675736],[-87.791975,45.500474],[-87.885083,45.363551],[-87.649574,45.341643],[-87.742682,45.199243],[-87.589328,45.095181],[-87.627666,44.974688],[-87.819359,44.95278],[-87.983668,44.722749],[-88.043914,44.563917],[-87.928898,44.536533],[-87.775544,44.640595],[-87.611236,44.837764],[-87.403112,44.914442],[-87.238804,45.166381],[-87.03068,45.22115],[-87.047111,45.089704],[-87.189511,44.969211],[-87.468835,44.552964],[-87.545512,44.322932],[-87.540035,44.158624],[-87.644097,44.103854],[-87.737205,43.8793],[-87.704344,43.687607],[-87.791975,43.561637],[-87.912467,43.249452],[-87.885083,43.002989],[-87.76459,42.783912],[-87.802929,42.493634],[-88.788778,42.493634],[-90.639984,42.510065],[-90.711184,42.636034],[-91.067185,42.75105],[-91.143862,42.909881],[-91.176724,43.134436],[-91.056231,43.254929],[-91.204109,43.353514],[-91.215062,43.501391],[-91.269832,43.616407],[-91.242447,43.775238],[-91.43414,43.994316],[-91.592971,44.032654],[-91.877772,44.202439],[-91.927065,44.333886],[-92.233773,44.443425],[-92.337835,44.552964],[-92.545959,44.569394],[-92.808852,44.750133],[-92.737652,45.117088],[-92.75956,45.286874],[-92.644544,45.440228],[-92.770513,45.566198],[-92.885529,45.577151],[-92.869098,45.719552],[-92.639067,45.933153],[-92.354266,46.015307],[-92.29402,46.075553],[-92.29402,46.667063],[-92.091373,46.749217],[-92.014696,46.705401],[-91.790141,46.694447],[-91.09457,46.864232],[-90.837154,46.95734],[-90.749522,46.88614],[-90.886446,46.754694],[-90.55783,46.584908],[-90.415429,46.568478]]]}},</v>
      </c>
    </row>
    <row r="52" spans="1:24" x14ac:dyDescent="0.3">
      <c r="A52" t="s">
        <v>336</v>
      </c>
      <c r="B52" t="s">
        <v>278</v>
      </c>
      <c r="C52" t="str">
        <f t="shared" si="3"/>
        <v>"housevalue":220800}</v>
      </c>
      <c r="D52" t="str">
        <f t="shared" ca="1" si="10"/>
        <v>"hv01":0.072,</v>
      </c>
      <c r="E52" t="str">
        <f t="shared" ca="1" si="10"/>
        <v>"hv02":0.007,</v>
      </c>
      <c r="F52" t="str">
        <f t="shared" ca="1" si="10"/>
        <v>"hv03":0.074,</v>
      </c>
      <c r="G52" t="str">
        <f t="shared" ca="1" si="10"/>
        <v>"hv04":0.079,</v>
      </c>
      <c r="H52" t="str">
        <f t="shared" ca="1" si="10"/>
        <v>"hv05":-0.116,</v>
      </c>
      <c r="I52" t="str">
        <f t="shared" ca="1" si="10"/>
        <v>"hv06":0.108,</v>
      </c>
      <c r="J52" t="str">
        <f t="shared" ca="1" si="10"/>
        <v>"hv07":0.059,</v>
      </c>
      <c r="K52" t="str">
        <f t="shared" ca="1" si="10"/>
        <v>"hv08":-0.002,</v>
      </c>
      <c r="L52" t="str">
        <f t="shared" ca="1" si="10"/>
        <v>"hv09":-0.011,</v>
      </c>
      <c r="M52" t="str">
        <f t="shared" ca="1" si="10"/>
        <v>"hv10":0.004,</v>
      </c>
      <c r="N52" t="str">
        <f t="shared" ca="1" si="10"/>
        <v>"hv11":0.001,</v>
      </c>
      <c r="O52" t="str">
        <f t="shared" ca="1" si="10"/>
        <v>"hv12":0.025,</v>
      </c>
      <c r="P52" t="str">
        <f t="shared" ca="1" si="10"/>
        <v>"hv13":0.02,</v>
      </c>
      <c r="Q52" t="str">
        <f t="shared" ca="1" si="10"/>
        <v>"hv14":0.026,</v>
      </c>
      <c r="R52" t="str">
        <f t="shared" ca="1" si="10"/>
        <v>"hv15":0.048,</v>
      </c>
      <c r="S52" t="str">
        <f t="shared" ca="1" si="10"/>
        <v>"hv16":0.024,</v>
      </c>
      <c r="T52" t="str">
        <f t="shared" ca="1" si="9"/>
        <v>"hv17":0.017}</v>
      </c>
      <c r="U52" t="str">
        <f t="shared" ca="1" si="5"/>
        <v>"hv01":0.072,"hv02":0.007,"hv03":0.074,"hv04":0.079,"hv05":-0.116,"hv06":0.108,"hv07":0.059,"hv08":-0.002,"hv09":-0.011,"hv10":0.004,"hv11":0.001,"hv12":0.025,"hv13":0.02,"hv14":0.026,"hv15":0.048,"hv16":0.024,"hv17":0.017}</v>
      </c>
      <c r="V52" t="s">
        <v>439</v>
      </c>
      <c r="X52" s="4" t="str">
        <f t="shared" si="4"/>
        <v xml:space="preserve">    {"type":"Feature","id":"56","properties":{"name":"Wyoming","hv01":0.072,"hv02":0.007,"hv03":0.074,"hv04":0.079,"hv05":-0.116,"hv06":0.108,"hv07":0.059,"hv08":-0.002,"hv09":-0.011,"hv10":0.004,"hv11":0.001,"hv12":0.025,"hv13":0.02,"hv14":0.026,"hv15":0.048,"hv16":0.024,"hv17":0.017},"geometry":{"type":"Polygon","coordinates":[[[-109.080842,45.002073],[-105.91517,45.002073],[-104.058488,44.996596],[-104.053011,43.002989],[-104.053011,41.003906],[-105.728954,40.998429],[-107.919731,41.003906],[-109.04798,40.998429],[-111.047063,40.998429],[-111.047063,42.000709],[-111.047063,44.476286],[-111.05254,45.002073],[-109.080842,45.002073]]]}}</v>
      </c>
    </row>
    <row r="53" spans="1:24" x14ac:dyDescent="0.3">
      <c r="A53" t="s">
        <v>330</v>
      </c>
      <c r="X53" s="4" t="str">
        <f>A53</f>
        <v xml:space="preserve">    ]};</v>
      </c>
    </row>
    <row r="54" spans="1:24" x14ac:dyDescent="0.3">
      <c r="D54" s="1">
        <v>2</v>
      </c>
      <c r="E54" s="1">
        <f>D54+1</f>
        <v>3</v>
      </c>
      <c r="F54" s="1">
        <f t="shared" ref="F54:T54" si="11">E54+1</f>
        <v>4</v>
      </c>
      <c r="G54" s="1">
        <f t="shared" si="11"/>
        <v>5</v>
      </c>
      <c r="H54" s="1">
        <f t="shared" si="11"/>
        <v>6</v>
      </c>
      <c r="I54" s="1">
        <f t="shared" si="11"/>
        <v>7</v>
      </c>
      <c r="J54" s="1">
        <f t="shared" si="11"/>
        <v>8</v>
      </c>
      <c r="K54" s="1">
        <f t="shared" si="11"/>
        <v>9</v>
      </c>
      <c r="L54" s="1">
        <f t="shared" si="11"/>
        <v>10</v>
      </c>
      <c r="M54" s="1">
        <f t="shared" si="11"/>
        <v>11</v>
      </c>
      <c r="N54" s="1">
        <f t="shared" si="11"/>
        <v>12</v>
      </c>
      <c r="O54" s="1">
        <f t="shared" si="11"/>
        <v>13</v>
      </c>
      <c r="P54" s="1">
        <f t="shared" si="11"/>
        <v>14</v>
      </c>
      <c r="Q54" s="1">
        <f t="shared" si="11"/>
        <v>15</v>
      </c>
      <c r="R54" s="1">
        <f t="shared" si="11"/>
        <v>16</v>
      </c>
      <c r="S54" s="1">
        <f t="shared" si="11"/>
        <v>17</v>
      </c>
      <c r="T54" s="1">
        <f t="shared" si="11"/>
        <v>18</v>
      </c>
    </row>
    <row r="55" spans="1:24" x14ac:dyDescent="0.3">
      <c r="D55" s="2" t="s">
        <v>334</v>
      </c>
      <c r="E55" t="str">
        <f>TEXT(D55+1,"00")</f>
        <v>02</v>
      </c>
      <c r="F55" t="str">
        <f t="shared" ref="F55:T55" si="12">TEXT(E55+1,"00")</f>
        <v>03</v>
      </c>
      <c r="G55" t="str">
        <f t="shared" si="12"/>
        <v>04</v>
      </c>
      <c r="H55" t="str">
        <f t="shared" si="12"/>
        <v>05</v>
      </c>
      <c r="I55" t="str">
        <f t="shared" si="12"/>
        <v>06</v>
      </c>
      <c r="J55" t="str">
        <f t="shared" si="12"/>
        <v>07</v>
      </c>
      <c r="K55" t="str">
        <f t="shared" si="12"/>
        <v>08</v>
      </c>
      <c r="L55" t="str">
        <f t="shared" si="12"/>
        <v>09</v>
      </c>
      <c r="M55" t="str">
        <f t="shared" si="12"/>
        <v>10</v>
      </c>
      <c r="N55" t="str">
        <f t="shared" si="12"/>
        <v>11</v>
      </c>
      <c r="O55" t="str">
        <f t="shared" si="12"/>
        <v>12</v>
      </c>
      <c r="P55" t="str">
        <f t="shared" si="12"/>
        <v>13</v>
      </c>
      <c r="Q55" t="str">
        <f t="shared" si="12"/>
        <v>14</v>
      </c>
      <c r="R55" t="str">
        <f t="shared" si="12"/>
        <v>15</v>
      </c>
      <c r="S55" t="str">
        <f t="shared" si="12"/>
        <v>16</v>
      </c>
      <c r="T55" t="str">
        <f t="shared" si="12"/>
        <v>17</v>
      </c>
    </row>
    <row r="56" spans="1:24" x14ac:dyDescent="0.3">
      <c r="D56" t="str">
        <f>"hv"&amp;D55</f>
        <v>hv01</v>
      </c>
      <c r="E56" t="str">
        <f t="shared" ref="E56:T56" si="13">"hv"&amp;E55</f>
        <v>hv02</v>
      </c>
      <c r="F56" t="str">
        <f t="shared" si="13"/>
        <v>hv03</v>
      </c>
      <c r="G56" t="str">
        <f t="shared" si="13"/>
        <v>hv04</v>
      </c>
      <c r="H56" t="str">
        <f t="shared" si="13"/>
        <v>hv05</v>
      </c>
      <c r="I56" t="str">
        <f t="shared" si="13"/>
        <v>hv06</v>
      </c>
      <c r="J56" t="str">
        <f t="shared" si="13"/>
        <v>hv07</v>
      </c>
      <c r="K56" t="str">
        <f t="shared" si="13"/>
        <v>hv08</v>
      </c>
      <c r="L56" t="str">
        <f t="shared" si="13"/>
        <v>hv09</v>
      </c>
      <c r="M56" t="str">
        <f t="shared" si="13"/>
        <v>hv10</v>
      </c>
      <c r="N56" t="str">
        <f t="shared" si="13"/>
        <v>hv11</v>
      </c>
      <c r="O56" t="str">
        <f t="shared" si="13"/>
        <v>hv12</v>
      </c>
      <c r="P56" t="str">
        <f t="shared" si="13"/>
        <v>hv13</v>
      </c>
      <c r="Q56" t="str">
        <f t="shared" si="13"/>
        <v>hv14</v>
      </c>
      <c r="R56" t="str">
        <f t="shared" si="13"/>
        <v>hv15</v>
      </c>
      <c r="S56" t="str">
        <f t="shared" si="13"/>
        <v>hv16</v>
      </c>
      <c r="T56" t="str">
        <f t="shared" si="13"/>
        <v>hv17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X56"/>
  <sheetViews>
    <sheetView tabSelected="1" workbookViewId="0"/>
  </sheetViews>
  <sheetFormatPr defaultRowHeight="14.4" x14ac:dyDescent="0.3"/>
  <cols>
    <col min="1" max="1" width="83.77734375" customWidth="1"/>
    <col min="2" max="2" width="9.21875" customWidth="1"/>
    <col min="3" max="3" width="19.5546875" customWidth="1"/>
    <col min="4" max="4" width="11.6640625" customWidth="1"/>
    <col min="5" max="20" width="11.77734375" customWidth="1"/>
    <col min="21" max="21" width="14" customWidth="1"/>
    <col min="23" max="23" width="23.33203125" customWidth="1"/>
    <col min="24" max="24" width="15.44140625" customWidth="1"/>
  </cols>
  <sheetData>
    <row r="1" spans="1:24" x14ac:dyDescent="0.3">
      <c r="A1" t="s">
        <v>279</v>
      </c>
      <c r="B1" t="s">
        <v>333</v>
      </c>
      <c r="C1" t="s">
        <v>331</v>
      </c>
      <c r="D1" s="1" t="str">
        <f>SUBSTITUTE(ADDRESS(1,D54,4),1,"")</f>
        <v>B</v>
      </c>
      <c r="E1" s="1" t="str">
        <f t="shared" ref="E1:R1" si="0">SUBSTITUTE(ADDRESS(1,E54,4),1,"")</f>
        <v>C</v>
      </c>
      <c r="F1" s="1" t="str">
        <f t="shared" si="0"/>
        <v>D</v>
      </c>
      <c r="G1" s="1" t="str">
        <f t="shared" si="0"/>
        <v>E</v>
      </c>
      <c r="H1" s="1" t="str">
        <f t="shared" si="0"/>
        <v>F</v>
      </c>
      <c r="I1" s="1" t="str">
        <f t="shared" si="0"/>
        <v>G</v>
      </c>
      <c r="J1" s="1" t="str">
        <f t="shared" si="0"/>
        <v>H</v>
      </c>
      <c r="K1" s="1" t="str">
        <f t="shared" si="0"/>
        <v>I</v>
      </c>
      <c r="L1" s="1" t="str">
        <f t="shared" si="0"/>
        <v>J</v>
      </c>
      <c r="M1" s="1" t="str">
        <f t="shared" si="0"/>
        <v>K</v>
      </c>
      <c r="N1" s="1" t="str">
        <f t="shared" si="0"/>
        <v>L</v>
      </c>
      <c r="O1" s="1" t="str">
        <f t="shared" si="0"/>
        <v>M</v>
      </c>
      <c r="P1" s="1" t="str">
        <f t="shared" si="0"/>
        <v>N</v>
      </c>
      <c r="Q1" s="1" t="str">
        <f t="shared" si="0"/>
        <v>O</v>
      </c>
      <c r="R1" s="1" t="str">
        <f t="shared" si="0"/>
        <v>P</v>
      </c>
      <c r="S1" s="1" t="str">
        <f>SUBSTITUTE(ADDRESS(1,S54,4),1,"")</f>
        <v>Q</v>
      </c>
      <c r="T1" s="1" t="str">
        <f>SUBSTITUTE(ADDRESS(1,T54,4),1,"")</f>
        <v>R</v>
      </c>
      <c r="U1" t="s">
        <v>332</v>
      </c>
      <c r="V1" t="s">
        <v>335</v>
      </c>
      <c r="W1" s="3" t="s">
        <v>388</v>
      </c>
      <c r="X1" s="4" t="str">
        <f>A1</f>
        <v>var statesData = {"type":"FeatureCollection","features":[</v>
      </c>
    </row>
    <row r="2" spans="1:24" x14ac:dyDescent="0.3">
      <c r="A2" t="s">
        <v>280</v>
      </c>
      <c r="B2" t="s">
        <v>250</v>
      </c>
      <c r="C2" t="str">
        <f>MID(A2,SEARCH("housevalue",A2)-1,SEARCH("geometry",A2)-SEARCH("housevalue",A2)-1)</f>
        <v>"housevalue":128300}</v>
      </c>
      <c r="D2" t="str">
        <f t="shared" ref="D2:S11" ca="1" si="1">CHAR(34)&amp;D$56&amp;CHAR(34)&amp;":"&amp;INDIRECT("HV_RAW_VALUE!"&amp;D$1&amp;ROW($A2))&amp;","</f>
        <v>"hv01":91800,</v>
      </c>
      <c r="E2" t="str">
        <f t="shared" ca="1" si="1"/>
        <v>"hv02":94800,</v>
      </c>
      <c r="F2" t="str">
        <f t="shared" ca="1" si="1"/>
        <v>"hv03":98800,</v>
      </c>
      <c r="G2" t="str">
        <f t="shared" ca="1" si="1"/>
        <v>"hv04":103900,</v>
      </c>
      <c r="H2" t="str">
        <f t="shared" ca="1" si="1"/>
        <v>"hv05":98400,</v>
      </c>
      <c r="I2" t="str">
        <f t="shared" ca="1" si="1"/>
        <v>"hv06":111900,</v>
      </c>
      <c r="J2" t="str">
        <f t="shared" ca="1" si="1"/>
        <v>"hv07":112100,</v>
      </c>
      <c r="K2" t="str">
        <f t="shared" ca="1" si="1"/>
        <v>"hv08":108700,</v>
      </c>
      <c r="L2" t="str">
        <f t="shared" ca="1" si="1"/>
        <v>"hv09":103600,</v>
      </c>
      <c r="M2" t="str">
        <f t="shared" ca="1" si="1"/>
        <v>"hv10":99300,</v>
      </c>
      <c r="N2" t="str">
        <f t="shared" ca="1" si="1"/>
        <v>"hv11":95200,</v>
      </c>
      <c r="O2" t="str">
        <f t="shared" ca="1" si="1"/>
        <v>"hv12":101200,</v>
      </c>
      <c r="P2" t="str">
        <f t="shared" ca="1" si="1"/>
        <v>"hv13":109400,</v>
      </c>
      <c r="Q2" t="str">
        <f t="shared" ca="1" si="1"/>
        <v>"hv14":112700,</v>
      </c>
      <c r="R2" t="str">
        <f t="shared" ca="1" si="1"/>
        <v>"hv15":114800,</v>
      </c>
      <c r="S2" t="str">
        <f t="shared" ca="1" si="1"/>
        <v>"hv16":118400,</v>
      </c>
      <c r="T2" t="str">
        <f t="shared" ref="T2:T33" ca="1" si="2">CHAR(34)&amp;T$56&amp;CHAR(34)&amp;":"&amp;INDIRECT("HV_RAW_VALUE!"&amp;T$1&amp;ROW($A2))&amp;"}"</f>
        <v>"hv17":121400}</v>
      </c>
      <c r="U2" t="str">
        <f ca="1">CONCATENATE(D2,E2,F2,G2,H2,I2,J2,K2,L2,M2,N2,O2,P2,Q2,R2,S2,T2)</f>
        <v>"hv01":91800,"hv02":94800,"hv03":98800,"hv04":103900,"hv05":98400,"hv06":111900,"hv07":112100,"hv08":108700,"hv09":103600,"hv10":99300,"hv11":95200,"hv12":101200,"hv13":109400,"hv14":112700,"hv15":114800,"hv16":118400,"hv17":121400}</v>
      </c>
      <c r="V2" t="s">
        <v>337</v>
      </c>
      <c r="X2" s="4" t="str">
        <f>V2</f>
        <v xml:space="preserve">    {"type":"Feature","id":"01","properties":{"name":"Alabama","hv01":91800,"hv02":94800,"hv03":98800,"hv04":103900,"hv05":98400,"hv06":111900,"hv07":112100,"hv08":108700,"hv09":103600,"hv10":99300,"hv11":95200,"hv12":101200,"hv13":109400,"hv14":112700,"hv15":114800,"hv16":118400,"hv17":121400},"geometry":{"type":"Polygon","coordinates":[[[-87.359296,35.00118],[-85.606675,34.984749],[-85.431413,34.124869],[-85.184951,32.859696],[-85.069935,32.580372],[-84.960397,32.421541],[-85.004212,32.322956],[-84.889196,32.262709],[-85.058981,32.13674],[-85.053504,32.01077],[-85.141136,31.840985],[-85.042551,31.539753],[-85.113751,31.27686],[-85.004212,31.003013],[-85.497137,30.997536],[-87.600282,30.997536],[-87.633143,30.86609],[-87.408589,30.674397],[-87.446927,30.510088],[-87.37025,30.427934],[-87.518128,30.280057],[-87.655051,30.247195],[-87.90699,30.411504],[-87.934375,30.657966],[-88.011052,30.685351],[-88.10416,30.499135],[-88.137022,30.318396],[-88.394438,30.367688],[-88.471115,31.895754],[-88.241084,33.796253],[-88.098683,34.891641],[-88.202745,34.995703],[-87.359296,35.00118]]]}},</v>
      </c>
    </row>
    <row r="3" spans="1:24" x14ac:dyDescent="0.3">
      <c r="A3" t="s">
        <v>281</v>
      </c>
      <c r="B3" t="s">
        <v>274</v>
      </c>
      <c r="C3" t="str">
        <f t="shared" ref="C3:C52" si="3">MID(A3,SEARCH("housevalue",A3)-1,SEARCH("geometry",A3)-SEARCH("housevalue",A3)-1)</f>
        <v>"housevalue":310200}</v>
      </c>
      <c r="D3" t="str">
        <f t="shared" ca="1" si="1"/>
        <v>"hv01":183900,</v>
      </c>
      <c r="E3" t="str">
        <f t="shared" ca="1" si="1"/>
        <v>"hv02":191400,</v>
      </c>
      <c r="F3" t="str">
        <f t="shared" ca="1" si="1"/>
        <v>"hv03":205400,</v>
      </c>
      <c r="G3" t="str">
        <f t="shared" ca="1" si="1"/>
        <v>"hv04":221600,</v>
      </c>
      <c r="H3" t="str">
        <f t="shared" ca="1" si="1"/>
        <v>"hv05":246200,</v>
      </c>
      <c r="I3" t="str">
        <f t="shared" ca="1" si="1"/>
        <v>"hv06":265500,</v>
      </c>
      <c r="J3" t="str">
        <f t="shared" ca="1" si="1"/>
        <v>"hv07":273100,</v>
      </c>
      <c r="K3" t="str">
        <f t="shared" ca="1" si="1"/>
        <v>"hv08":274000,</v>
      </c>
      <c r="L3" t="str">
        <f t="shared" ca="1" si="1"/>
        <v>"hv09":276200,</v>
      </c>
      <c r="M3" t="str">
        <f t="shared" ca="1" si="1"/>
        <v>"hv10":278800,</v>
      </c>
      <c r="N3" t="str">
        <f t="shared" ca="1" si="1"/>
        <v>"hv11":277800,</v>
      </c>
      <c r="O3" t="str">
        <f t="shared" ca="1" si="1"/>
        <v>"hv12":278800,</v>
      </c>
      <c r="P3" t="str">
        <f t="shared" ca="1" si="1"/>
        <v>"hv13":284800,</v>
      </c>
      <c r="Q3" t="str">
        <f t="shared" ca="1" si="1"/>
        <v>"hv14":294800,</v>
      </c>
      <c r="R3" t="str">
        <f t="shared" ca="1" si="1"/>
        <v>"hv15":300000,</v>
      </c>
      <c r="S3" t="str">
        <f t="shared" ca="1" si="1"/>
        <v>"hv16":303900,</v>
      </c>
      <c r="T3" t="str">
        <f t="shared" ca="1" si="2"/>
        <v>"hv17":308400}</v>
      </c>
      <c r="U3" t="str">
        <f ca="1">CONCATENATE(D3,E3,F3,G3,H3,I3,J3,K3,L3,M3,N3,O3,P3,Q3,R3,S3,T3)</f>
        <v>"hv01":183900,"hv02":191400,"hv03":205400,"hv04":221600,"hv05":246200,"hv06":265500,"hv07":273100,"hv08":274000,"hv09":276200,"hv10":278800,"hv11":277800,"hv12":278800,"hv13":284800,"hv14":294800,"hv15":300000,"hv16":303900,"hv17":308400}</v>
      </c>
      <c r="V3" t="s">
        <v>338</v>
      </c>
      <c r="X3" s="4" t="str">
        <f t="shared" ref="X3:X52" si="4">V3</f>
        <v xml:space="preserve">    {"type":"Feature","id":"02","properties":{"name":"Alaska","hv01":183900,"hv02":191400,"hv03":205400,"hv04":221600,"hv05":246200,"hv06":265500,"hv07":273100,"hv08":274000,"hv09":276200,"hv10":278800,"hv11":277800,"hv12":278800,"hv13":284800,"hv14":294800,"hv15":300000,"hv16":303900,"hv17":308400},"geometry":{"type":"MultiPolygon","coordinates":[[[[-131.602021,55.117982],[-131.569159,55.28229],[-131.355558,55.183705],[-131.38842,55.01392],[-131.645836,55.035827],[-131.602021,55.117982]]],[[[-131.832052,55.42469],[-131.645836,55.304197],[-131.749898,55.128935],[-131.832052,55.189182],[-131.832052,55.42469]]],[[[-132.976733,56.437924],[-132.735747,56.459832],[-132.631685,56.421493],[-132.664547,56.273616],[-132.878148,56.240754],[-133.069841,56.333862],[-132.976733,56.437924]]],[[[-133.595627,56.350293],[-133.162949,56.317431],[-133.05341,56.125739],[-132.620732,55.912138],[-132.472854,55.780691],[-132.4619,55.671152],[-132.357838,55.649245],[-132.341408,55.506844],[-132.166146,55.364444],[-132.144238,55.238474],[-132.029222,55.276813],[-131.97993,55.178228],[-131.958022,54.789365],[-132.029222,54.701734],[-132.308546,54.718165],[-132.385223,54.915335],[-132.483808,54.898904],[-132.686455,55.046781],[-132.746701,54.997489],[-132.916486,55.046781],[-132.889102,54.898904],[-132.73027,54.937242],[-132.626209,54.882473],[-132.675501,54.679826],[-132.867194,54.701734],[-133.157472,54.95915],[-133.239626,55.090597],[-133.223195,55.22752],[-133.453227,55.216566],[-133.453227,55.320628],[-133.277964,55.331582],[-133.102702,55.42469],[-133.17938,55.588998],[-133.387503,55.62186],[-133.420365,55.884753],[-133.497042,56.0162],[-133.639442,55.923092],[-133.694212,56.070969],[-133.546335,56.142169],[-133.666827,56.311955],[-133.595627,56.350293]]],[[[-133.738027,55.556137],[-133.546335,55.490413],[-133.414888,55.572568],[-133.283441,55.534229],[-133.420365,55.386352],[-133.633966,55.430167],[-133.738027,55.556137]]],[[[-133.907813,56.930849],[-134.050213,57.029434],[-133.885905,57.095157],[-133.343688,57.002049],[-133.102702,57.007526],[-132.932917,56.82131],[-132.620732,56.667956],[-132.653593,56.55294],[-132.817901,56.492694],[-133.042456,56.520078],[-133.201287,56.448878],[-133.420365,56.492694],[-133.66135,56.448878],[-133.710643,56.684386],[-133.688735,56.837741],[-133.869474,56.843218],[-133.907813,56.930849]]],[[[-134.115936,56.48174],[-134.25286,56.558417],[-134.400737,56.722725],[-134.417168,56.848695],[-134.296675,56.908941],[-134.170706,56.848695],[-134.143321,56.952757],[-133.748981,56.772017],[-133.710643,56.596755],[-133.847566,56.574848],[-133.935197,56.377678],[-133.836612,56.322908],[-133.957105,56.092877],[-134.110459,56.142169],[-134.132367,55.999769],[-134.230952,56.070969],[-134.291198,56.350293],[-134.115936,56.48174]]],[[[-134.636246,56.28457],[-134.669107,56.169554],[-134.806031,56.235277],[-135.178463,56.67891],[-135.413971,56.810356],[-135.331817,56.914418],[-135.424925,57.166357],[-135.687818,57.369004],[-135.419448,57.566174],[-135.298955,57.48402],[-135.063447,57.418296],[-134.849846,57.407343],[-134.844369,57.248511],[-134.636246,56.728202],[-134.636246,56.28457]]],[[[-134.712923,58.223407],[-134.373353,58.14673],[-134.176183,58.157683],[-134.187137,58.081006],[-133.902336,57.807159],[-134.099505,57.850975],[-134.148798,57.757867],[-133.935197,57.615466],[-133.869474,57.363527],[-134.083075,57.297804],[-134.154275,57.210173],[-134.499322,57.029434],[-134.603384,57.034911],[-134.6472,57.226604],[-134.575999,57.341619],[-134.608861,57.511404],[-134.729354,57.719528],[-134.707446,57.829067],[-134.784123,58.097437],[-134.91557,58.212453],[-134.953908,58.409623],[-134.712923,58.223407]]],[[[-135.857603,57.330665],[-135.715203,57.330665],[-135.567326,57.149926],[-135.633049,57.023957],[-135.857603,56.996572],[-135.824742,57.193742],[-135.857603,57.330665]]],[[[-136.279328,58.206976],[-135.978096,58.201499],[-135.780926,58.28913],[-135.496125,58.168637],[-135.64948,58.037191],[-135.59471,57.987898],[-135.45231,58.135776],[-135.107263,58.086483],[-134.91557,57.976944],[-135.025108,57.779775],[-134.937477,57.763344],[-134.822462,57.500451],[-135.085355,57.462112],[-135.572802,57.675713],[-135.556372,57.456635],[-135.709726,57.369004],[-135.890465,57.407343],[-136.000004,57.544266],[-136.208128,57.637374],[-136.366959,57.829067],[-136.569606,57.916698],[-136.558652,58.075529],[-136.421728,58.130299],[-136.377913,58.267222],[-136.279328,58.206976]]],[[[-147.079854,60.200582],[-147.501579,59.948643],[-147.53444,59.850058],[-147.874011,59.784335],[-147.80281,59.937689],[-147.435855,60.09652],[-147.205824,60.271782],[-147.079854,60.200582]]],[[[-147.561825,60.578491],[-147.616594,60.370367],[-147.758995,60.156767],[-147.956165,60.227967],[-147.791856,60.474429],[-147.561825,60.578491]]],[[[-147.786379,70.245291],[-147.682318,70.201475],[-147.162008,70.15766],[-146.888161,70.185044],[-146.510252,70.185044],[-146.099482,70.146706],[-145.858496,70.168614],[-145.622988,70.08646],[-145.195787,69.993352],[-144.620708,69.971444],[-144.461877,70.026213],[-144.078491,70.059075],[-143.914183,70.130275],[-143.497935,70.141229],[-143.503412,70.091936],[-143.25695,70.119321],[-142.747594,70.042644],[-142.402547,69.916674],[-142.079408,69.856428],[-142.008207,69.801659],[-141.712453,69.790705],[-141.433129,69.697597],[-141.378359,69.63735],[-141.208574,69.686643],[-141.00045,69.648304],[-141.00045,60.304644],[-140.53491,60.22249],[-140.474664,60.310121],[-139.987216,60.184151],[-139.696939,60.342983],[-139.088998,60.359413],[-139.198537,60.091043],[-139.045183,59.997935],[-138.700135,59.910304],[-138.623458,59.767904],[-137.604747,59.242118],[-137.445916,58.908024],[-137.265177,59.001132],[-136.827022,59.159963],[-136.580559,59.16544],[-136.465544,59.285933],[-136.476498,59.466672],[-136.301236,59.466672],[-136.25742,59.625503],[-135.945234,59.663842],[-135.479694,59.800766],[-135.025108,59.565257],[-135.068924,59.422857],[-134.959385,59.280456],[-134.701969,59.247595],[-134.378829,59.033994],[-134.400737,58.973748],[-134.25286,58.858732],[-133.842089,58.727285],[-133.173903,58.152206],[-133.075318,57.998852],[-132.867194,57.845498],[-132.560485,57.505928],[-132.253777,57.21565],[-132.368792,57.095157],[-132.05113,57.051341],[-132.127807,56.876079],[-131.870391,56.804879],[-131.837529,56.602232],[-131.580113,56.613186],[-131.087188,56.405062],[-130.78048,56.366724],[-130.621648,56.268139],[-130.468294,56.240754],[-130.424478,56.142169],[-130.101339,56.114785],[-130.002754,55.994292],[-130.150631,55.769737],[-130.128724,55.583521],[-129.986323,55.276813],[-130.095862,55.200136],[-130.336847,54.920812],[-130.687372,54.718165],[-130.785957,54.822227],[-130.917403,54.789365],[-131.010511,54.997489],[-130.983126,55.08512],[-131.092665,55.189182],[-130.862634,55.298721],[-130.928357,55.337059],[-131.158389,55.200136],[-131.284358,55.287767],[-131.426759,55.238474],[-131.843006,55.457552],[-131.700606,55.698537],[-131.963499,55.616383],[-131.974453,55.49589],[-132.182576,55.588998],[-132.226392,55.704014],[-132.083991,55.829984],[-132.127807,55.955953],[-132.324977,55.851892],[-132.522147,56.076446],[-132.642639,56.032631],[-132.719317,56.218847],[-132.527624,56.339339],[-132.341408,56.339339],[-132.396177,56.487217],[-132.297592,56.67891],[-132.450946,56.673433],[-132.768609,56.837741],[-132.993164,57.034911],[-133.51895,57.177311],[-133.507996,57.577128],[-133.677781,57.62642],[-133.639442,57.790728],[-133.814705,57.834544],[-134.072121,58.053622],[-134.143321,58.168637],[-134.586953,58.206976],[-135.074401,58.502731],[-135.282525,59.192825],[-135.38111,59.033994],[-135.337294,58.891593],[-135.140124,58.617746],[-135.189417,58.573931],[-135.05797,58.349376],[-135.085355,58.201499],[-135.277048,58.234361],[-135.430402,58.398669],[-135.633049,58.426053],[-135.91785,58.382238],[-135.912373,58.617746],[-136.087635,58.814916],[-136.246466,58.75467],[-136.876314,58.962794],[-136.931084,58.902547],[-136.586036,58.836824],[-136.317666,58.672516],[-136.213604,58.667039],[-136.180743,58.535592],[-136.043819,58.382238],[-136.388867,58.294607],[-136.591513,58.349376],[-136.59699,58.212453],[-136.859883,58.316515],[-136.947514,58.393192],[-137.111823,58.393192],[-137.566409,58.590362],[-137.900502,58.765624],[-137.933364,58.869686],[-138.11958,59.02304],[-138.634412,59.132579],[-138.919213,59.247595],[-139.417615,59.379041],[-139.746231,59.505011],[-139.718846,59.641934],[-139.625738,59.598119],[-139.5162,59.68575],[-139.625738,59.88292],[-139.488815,59.992458],[-139.554538,60.041751],[-139.801,59.833627],[-140.315833,59.696704],[-140.92925,59.745996],[-141.444083,59.871966],[-141.46599,59.970551],[-141.706976,59.948643],[-141.964392,60.019843],[-142.539471,60.085566],[-142.873564,60.091043],[-143.623905,60.036274],[-143.892275,59.997935],[-144.231845,60.140336],[-144.65357,60.206059],[-144.785016,60.29369],[-144.834309,60.441568],[-145.124586,60.430614],[-145.223171,60.299167],[-145.738004,60.474429],[-145.820158,60.551106],[-146.351421,60.408706],[-146.608837,60.238921],[-146.718376,60.397752],[-146.608837,60.485383],[-146.455483,60.463475],[-145.951604,60.578491],[-146.017328,60.666122],[-146.252836,60.622307],[-146.345944,60.737322],[-146.565022,60.753753],[-146.784099,61.044031],[-146.866253,60.972831],[-147.172962,60.934492],[-147.271547,60.972831],[-147.375609,60.879723],[-147.758995,60.912584],[-147.775426,60.808523],[-148.032842,60.781138],[-148.153334,60.819476],[-148.065703,61.005692],[-148.175242,61.000215],[-148.350504,60.803046],[-148.109519,60.737322],[-148.087611,60.594922],[-147.939734,60.441568],[-148.027365,60.277259],[-148.219058,60.332029],[-148.273827,60.249875],[-148.087611,60.217013],[-147.983549,59.997935],[-148.251919,59.95412],[-148.399797,59.997935],[-148.635305,59.937689],[-148.755798,59.986981],[-149.067984,59.981505],[-149.05703,60.063659],[-149.204907,60.008889],[-149.287061,59.904827],[-149.418508,59.997935],[-149.582816,59.866489],[-149.511616,59.806242],[-149.741647,59.729565],[-149.949771,59.718611],[-150.031925,59.61455],[-150.25648,59.521442],[-150.409834,59.554303],[-150.579619,59.444764],[-150.716543,59.450241],[-151.001343,59.225687],[-151.308052,59.209256],[-151.406637,59.280456],[-151.592853,59.159963],[-151.976239,59.253071],[-151.888608,59.422857],[-151.636669,59.483103],[-151.47236,59.472149],[-151.423068,59.537872],[-151.127313,59.669319],[-151.116359,59.778858],[-151.505222,59.63098],[-151.828361,59.718611],[-151.8667,59.778858],[-151.702392,60.030797],[-151.423068,60.211536],[-151.379252,60.359413],[-151.297098,60.386798],[-151.264237,60.545629],[-151.406637,60.720892],[-151.06159,60.786615],[-150.404357,61.038554],[-150.245526,60.939969],[-150.042879,60.912584],[-149.741647,61.016646],[-150.075741,61.15357],[-150.207187,61.257632],[-150.47008,61.246678],[-150.656296,61.29597],[-150.711066,61.252155],[-151.023251,61.180954],[-151.165652,61.044031],[-151.477837,61.011169],[-151.800977,60.852338],[-151.833838,60.748276],[-152.080301,60.693507],[-152.13507,60.578491],[-152.310332,60.507291],[-152.392486,60.304644],[-152.732057,60.173197],[-152.567748,60.069136],[-152.704672,59.915781],[-153.022334,59.888397],[-153.049719,59.691227],[-153.345474,59.620026],[-153.438582,59.702181],[-153.586459,59.548826],[-153.761721,59.543349],[-153.72886,59.433811],[-154.117723,59.368087],[-154.1944,59.066856],[-153.750768,59.050425],[-153.400243,58.968271],[-153.301658,58.869686],[-153.444059,58.710854],[-153.679567,58.612269],[-153.898645,58.606793],[-153.920553,58.519161],[-154.062953,58.4863],[-153.99723,58.376761],[-154.145107,58.212453],[-154.46277,58.059098],[-154.643509,58.059098],[-154.818771,58.004329],[-154.988556,58.015283],[-155.120003,57.955037],[-155.081664,57.872883],[-155.328126,57.829067],[-155.377419,57.708574],[-155.547204,57.785251],[-155.73342,57.549743],[-156.045606,57.566174],[-156.023698,57.440204],[-156.209914,57.473066],[-156.34136,57.418296],[-156.34136,57.248511],[-156.549484,56.985618],[-156.883577,56.952757],[-157.157424,56.832264],[-157.20124,56.766541],[-157.376502,56.859649],[-157.672257,56.607709],[-157.754411,56.67891],[-157.918719,56.657002],[-157.957058,56.514601],[-158.126843,56.459832],[-158.32949,56.48174],[-158.488321,56.339339],[-158.208997,56.295524],[-158.510229,55.977861],[-159.375585,55.873799],[-159.616571,55.594475],[-159.676817,55.654722],[-159.643955,55.829984],[-159.813741,55.857368],[-160.027341,55.791645],[-160.060203,55.720445],[-160.394296,55.605429],[-160.536697,55.473983],[-160.580512,55.567091],[-160.668143,55.457552],[-160.865313,55.528752],[-161.232268,55.358967],[-161.506115,55.364444],[-161.467776,55.49589],[-161.588269,55.62186],[-161.697808,55.517798],[-161.686854,55.408259],[-162.053809,55.074166],[-162.179779,55.15632],[-162.218117,55.03035],[-162.470057,55.052258],[-162.508395,55.249428],[-162.661749,55.293244],[-162.716519,55.222043],[-162.579595,55.134412],[-162.645319,54.997489],[-162.847965,54.926289],[-163.00132,55.079643],[-163.187536,55.090597],[-163.220397,55.03035],[-163.034181,54.942719],[-163.373752,54.800319],[-163.14372,54.76198],[-163.138243,54.696257],[-163.329936,54.74555],[-163.587352,54.614103],[-164.085754,54.61958],[-164.332216,54.531949],[-164.354124,54.466226],[-164.638925,54.389548],[-164.847049,54.416933],[-164.918249,54.603149],[-164.710125,54.663395],[-164.551294,54.88795],[-164.34317,54.893427],[-163.894061,55.041304],[-163.532583,55.046781],[-163.39566,54.904381],[-163.291598,55.008443],[-163.313505,55.128935],[-163.105382,55.183705],[-162.880827,55.183705],[-162.579595,55.446598],[-162.245502,55.682106],[-161.807347,55.89023],[-161.292514,55.983338],[-161.078914,55.939523],[-160.87079,55.999769],[-160.816021,55.912138],[-160.931036,55.813553],[-160.805067,55.736876],[-160.766728,55.857368],[-160.509312,55.868322],[-160.438112,55.791645],[-160.27928,55.76426],[-160.273803,55.857368],[-160.536697,55.939523],[-160.558604,55.994292],[-160.383342,56.251708],[-160.147834,56.399586],[-159.830171,56.541986],[-159.326293,56.667956],[-158.959338,56.848695],[-158.784076,56.782971],[-158.641675,56.810356],[-158.701922,56.925372],[-158.658106,57.034911],[-158.378782,57.264942],[-157.995396,57.41282],[-157.688688,57.609989],[-157.705118,57.719528],[-157.458656,58.497254],[-157.07527,58.705377],[-157.119086,58.869686],[-158.039212,58.634177],[-158.32949,58.661562],[-158.40069,58.760147],[-158.564998,58.803962],[-158.619768,58.913501],[-158.767645,58.864209],[-158.860753,58.694424],[-158.701922,58.480823],[-158.893615,58.387715],[-159.0634,58.420577],[-159.392016,58.760147],[-159.616571,58.929932],[-159.731586,58.929932],[-159.808264,58.803962],[-159.906848,58.782055],[-160.054726,58.886116],[-160.235465,58.902547],[-160.317619,59.072332],[-160.854359,58.88064],[-161.33633,58.743716],[-161.374669,58.667039],[-161.752577,58.552023],[-161.938793,58.656085],[-161.769008,58.776578],[-161.829255,59.061379],[-161.955224,59.36261],[-161.703285,59.48858],[-161.911409,59.740519],[-162.092148,59.88292],[-162.234548,60.091043],[-162.448149,60.178674],[-162.502918,59.997935],[-162.760334,59.959597],[-163.171105,59.844581],[-163.66403,59.795289],[-163.9324,59.806242],[-164.162431,59.866489],[-164.189816,60.02532],[-164.386986,60.074613],[-164.699171,60.29369],[-164.962064,60.337506],[-165.268773,60.578491],[-165.060649,60.68803],[-165.016834,60.890677],[-165.175665,60.846861],[-165.197573,60.972831],[-165.120896,61.076893],[-165.323543,61.170001],[-165.34545,61.071416],[-165.591913,61.109754],[-165.624774,61.279539],[-165.816467,61.301447],[-165.920529,61.416463],[-165.915052,61.558863],[-166.106745,61.49314],[-166.139607,61.630064],[-165.904098,61.662925],[-166.095791,61.81628],[-165.756221,61.827233],[-165.756221,62.013449],[-165.674067,62.139419],[-165.044219,62.539236],[-164.912772,62.659728],[-164.819664,62.637821],[-164.874433,62.807606],[-164.633448,63.097884],[-164.425324,63.212899],[-164.036462,63.262192],[-163.73523,63.212899],[-163.313505,63.037637],[-163.039658,63.059545],[-162.661749,63.22933],[-162.272887,63.486746],[-162.075717,63.514131],[-162.026424,63.448408],[-161.555408,63.448408],[-161.13916,63.503177],[-160.766728,63.771547],[-160.766728,63.837271],[-160.952944,64.08921],[-160.974852,64.237087],[-161.26513,64.395918],[-161.374669,64.532842],[-161.078914,64.494503],[-160.79959,64.609519],[-160.783159,64.719058],[-161.144637,64.921705],[-161.413007,64.762873],[-161.664946,64.790258],[-161.900455,64.702627],[-162.168825,64.680719],[-162.234548,64.620473],[-162.541257,64.532842],[-162.634365,64.384965],[-162.787719,64.324718],[-162.858919,64.49998],[-163.045135,64.538319],[-163.176582,64.401395],[-163.253259,64.467119],[-163.598306,64.565704],[-164.304832,64.560227],[-164.80871,64.450688],[-165.000403,64.434257],[-165.411174,64.49998],[-166.188899,64.576658],[-166.391546,64.636904],[-166.484654,64.735489],[-166.413454,64.872412],[-166.692778,64.987428],[-166.638008,65.113398],[-166.462746,65.179121],[-166.517516,65.337952],[-166.796839,65.337952],[-167.026871,65.381768],[-167.47598,65.414629],[-167.711489,65.496784],[-168.072967,65.578938],[-168.105828,65.682999],[-167.541703,65.819923],[-166.829701,66.049954],[-166.3313,66.186878],[-166.046499,66.110201],[-165.756221,66.09377],[-165.690498,66.203309],[-165.86576,66.21974],[-165.88219,66.312848],[-165.186619,66.466202],[-164.403417,66.581218],[-163.981692,66.592172],[-163.751661,66.553833],[-163.872153,66.389525],[-163.828338,66.274509],[-163.915969,66.192355],[-163.768091,66.060908],[-163.494244,66.082816],[-163.149197,66.060908],[-162.749381,66.088293],[-162.634365,66.039001],[-162.371472,66.028047],[-162.14144,66.077339],[-161.840208,66.02257],[-161.549931,66.241647],[-161.341807,66.252601],[-161.199406,66.208786],[-161.128206,66.334755],[-161.528023,66.395002],[-161.911409,66.345709],[-161.87307,66.510017],[-162.174302,66.68528],[-162.502918,66.740049],[-162.601503,66.89888],[-162.344087,66.937219],[-162.015471,66.778388],[-162.075717,66.652418],[-161.916886,66.553833],[-161.571838,66.438817],[-161.489684,66.55931],[-161.884024,66.718141],[-161.714239,67.002942],[-161.851162,67.052235],[-162.240025,66.991988],[-162.639842,67.008419],[-162.700088,67.057712],[-162.902735,67.008419],[-163.740707,67.128912],[-163.757138,67.254881],[-164.009077,67.534205],[-164.211724,67.638267],[-164.534863,67.725898],[-165.192096,67.966884],[-165.493328,68.059992],[-165.794559,68.081899],[-166.243668,68.246208],[-166.681824,68.339316],[-166.703731,68.372177],[-166.375115,68.42147],[-166.227238,68.574824],[-166.216284,68.881533],[-165.329019,68.859625],[-164.255539,68.930825],[-163.976215,68.985595],[-163.532583,69.138949],[-163.110859,69.374457],[-163.023228,69.609966],[-162.842489,69.812613],[-162.470057,69.982398],[-162.311225,70.108367],[-161.851162,70.311014],[-161.779962,70.256245],[-161.396576,70.239814],[-160.837928,70.343876],[-160.487404,70.453415],[-159.649432,70.792985],[-159.33177,70.809416],[-159.298908,70.760123],[-158.975769,70.798462],[-158.658106,70.787508],[-158.033735,70.831323],[-157.420318,70.979201],[-156.812377,71.285909],[-156.565915,71.351633],[-156.522099,71.296863],[-155.585543,71.170894],[-155.508865,71.083263],[-155.832005,70.968247],[-155.979882,70.96277],[-155.974405,70.809416],[-155.503388,70.858708],[-155.476004,70.940862],[-155.262403,71.017539],[-155.191203,70.973724],[-155.032372,71.148986],[-154.566832,70.990155],[-154.643509,70.869662],[-154.353231,70.8368],[-154.183446,70.7656],[-153.931507,70.880616],[-153.487874,70.886093],[-153.235935,70.924431],[-152.589656,70.886093],[-152.26104,70.842277],[-152.419871,70.606769],[-151.817408,70.546523],[-151.773592,70.486276],[-151.187559,70.382214],[-151.182082,70.431507],[-150.760358,70.49723],[-150.355064,70.491753],[-150.349588,70.436984],[-150.114079,70.431507],[-149.867617,70.508184],[-149.462323,70.519138],[-149.177522,70.486276],[-148.78866,70.404122],[-148.607921,70.420553],[-148.350504,70.305537],[-148.202627,70.349353],[-147.961642,70.316491],[-147.786379,70.245291]]],[[[-152.94018,58.026237],[-152.945657,57.982421],[-153.290705,58.048145],[-153.044242,58.305561],[-152.819688,58.327469],[-152.666333,58.562977],[-152.496548,58.354853],[-152.354148,58.426053],[-152.080301,58.311038],[-152.080301,58.152206],[-152.480117,58.130299],[-152.655379,58.059098],[-152.94018,58.026237]]],[[[-153.958891,57.538789],[-153.67409,57.670236],[-153.931507,57.69762],[-153.936983,57.812636],[-153.723383,57.889313],[-153.570028,57.834544],[-153.548121,57.719528],[-153.46049,57.796205],[-153.455013,57.96599],[-153.268797,57.889313],[-153.235935,57.998852],[-153.071627,57.933129],[-152.874457,57.933129],[-152.721103,57.993375],[-152.469163,57.889313],[-152.469163,57.599035],[-152.151501,57.620943],[-152.359625,57.42925],[-152.74301,57.505928],[-152.60061,57.379958],[-152.710149,57.275896],[-152.907319,57.325188],[-152.912796,57.128019],[-153.214027,57.073249],[-153.312612,56.991095],[-153.498828,57.067772],[-153.695998,56.859649],[-153.849352,56.837741],[-154.013661,56.744633],[-154.073907,56.969187],[-154.303938,56.848695],[-154.314892,56.919895],[-154.523016,56.991095],[-154.539447,57.193742],[-154.742094,57.275896],[-154.627078,57.511404],[-154.227261,57.659282],[-153.980799,57.648328],[-153.958891,57.538789]]],[[[-154.53397,56.602232],[-154.742094,56.399586],[-154.807817,56.432447],[-154.53397,56.602232]]],[[[-155.634835,55.923092],[-155.476004,55.912138],[-155.530773,55.704014],[-155.793666,55.731399],[-155.837482,55.802599],[-155.634835,55.923092]]],[[[-159.890418,55.28229],[-159.950664,55.068689],[-160.257373,54.893427],[-160.109495,55.161797],[-160.005433,55.134412],[-159.890418,55.28229]]],[[[-160.520266,55.358967],[-160.33405,55.358967],[-160.339527,55.249428],[-160.525743,55.128935],[-160.690051,55.211089],[-160.794113,55.134412],[-160.854359,55.320628],[-160.79959,55.380875],[-160.520266,55.358967]]],[[[-162.256456,54.981058],[-162.234548,54.893427],[-162.349564,54.838658],[-162.437195,54.931766],[-162.256456,54.981058]]],[[[-162.415287,63.634624],[-162.563165,63.536039],[-162.612457,63.62367],[-162.415287,63.634624]]],[[[-162.80415,54.488133],[-162.590549,54.449795],[-162.612457,54.367641],[-162.782242,54.373118],[-162.80415,54.488133]]],[[[-165.548097,54.29644],[-165.476897,54.181425],[-165.630251,54.132132],[-165.685021,54.252625],[-165.548097,54.29644]]],[[[-165.73979,54.15404],[-166.046499,54.044501],[-166.112222,54.121178],[-165.980775,54.219763],[-165.73979,54.15404]]],[[[-166.364161,60.359413],[-166.13413,60.397752],[-166.084837,60.326552],[-165.88219,60.342983],[-165.685021,60.277259],[-165.646682,59.992458],[-165.750744,59.89935],[-166.00816,59.844581],[-166.062929,59.745996],[-166.440838,59.855535],[-166.6161,59.850058],[-166.994009,59.992458],[-167.125456,59.992458],[-167.344534,60.074613],[-167.421211,60.206059],[-167.311672,60.238921],[-166.93924,60.206059],[-166.763978,60.310121],[-166.577762,60.321075],[-166.495608,60.392275],[-166.364161,60.359413]]],[[[-166.375115,54.01164],[-166.210807,53.934962],[-166.5449,53.748746],[-166.539423,53.715885],[-166.117699,53.852808],[-166.112222,53.776131],[-166.282007,53.683023],[-166.555854,53.622777],[-166.583239,53.529669],[-166.878994,53.431084],[-167.13641,53.425607],[-167.306195,53.332499],[-167.623857,53.250345],[-167.793643,53.337976],[-167.459549,53.442038],[-167.355487,53.425607],[-167.103548,53.513238],[-167.163794,53.611823],[-167.021394,53.715885],[-166.807793,53.666592],[-166.785886,53.732316],[-167.015917,53.754223],[-167.141887,53.825424],[-167.032348,53.945916],[-166.643485,54.017116],[-166.561331,53.880193],[-166.375115,54.01164]]],[[[-168.790446,53.157237],[-168.40706,53.34893],[-168.385152,53.431084],[-168.237275,53.524192],[-168.007243,53.568007],[-167.886751,53.518715],[-167.842935,53.387268],[-168.270136,53.244868],[-168.500168,53.036744],[-168.686384,52.965544],[-168.790446,53.157237]]],[[[-169.74891,52.894344],[-169.705095,52.795759],[-169.962511,52.790282],[-169.989896,52.856005],[-169.74891,52.894344]]],[[[-170.148727,57.221127],[-170.28565,57.128019],[-170.313035,57.221127],[-170.148727,57.221127]]],[[[-170.669036,52.697174],[-170.603313,52.604066],[-170.789529,52.538343],[-170.816914,52.636928],[-170.669036,52.697174]]],[[[-171.742517,63.716778],[-170.94836,63.5689],[-170.488297,63.69487],[-170.280174,63.683916],[-170.093958,63.612716],[-170.044665,63.492223],[-169.644848,63.4265],[-169.518879,63.366254],[-168.99857,63.338869],[-168.686384,63.295053],[-168.856169,63.147176],[-169.108108,63.180038],[-169.376478,63.152653],[-169.513402,63.08693],[-169.639372,62.939052],[-169.831064,63.075976],[-170.055619,63.169084],[-170.263743,63.180038],[-170.362328,63.2841],[-170.866206,63.415546],[-171.101715,63.421023],[-171.463193,63.306007],[-171.73704,63.366254],[-171.852055,63.486746],[-171.742517,63.716778]]],[[[-172.432611,52.390465],[-172.41618,52.275449],[-172.607873,52.253542],[-172.569535,52.352127],[-172.432611,52.390465]]],[[[-173.626584,52.14948],[-173.495138,52.105664],[-173.122706,52.111141],[-173.106275,52.07828],[-173.549907,52.028987],[-173.626584,52.14948]]],[[[-174.322156,52.280926],[-174.327632,52.379511],[-174.185232,52.41785],[-173.982585,52.319265],[-174.059262,52.226157],[-174.179755,52.231634],[-174.141417,52.127572],[-174.333109,52.116618],[-174.738403,52.007079],[-174.968435,52.039941],[-174.902711,52.116618],[-174.656249,52.105664],[-174.322156,52.280926]]],[[[-176.469116,51.853725],[-176.288377,51.870156],[-176.288377,51.744186],[-176.518409,51.760617],[-176.80321,51.61274],[-176.912748,51.80991],[-176.792256,51.815386],[-176.775825,51.963264],[-176.627947,51.968741],[-176.627947,51.859202],[-176.469116,51.853725]]],[[[-177.153734,51.946833],[-177.044195,51.897541],[-177.120872,51.727755],[-177.274226,51.678463],[-177.279703,51.782525],[-177.153734,51.946833]]],[[[-178.123152,51.919448],[-177.953367,51.913971],[-177.800013,51.793479],[-177.964321,51.651078],[-178.123152,51.919448]]],[[[-187.107557,52.992929],[-187.293773,52.927205],[-187.304726,52.823143],[-188.90491,52.762897],[-188.642017,52.927205],[-188.642017,53.003883],[-187.107557,52.992929]]]]}},</v>
      </c>
    </row>
    <row r="4" spans="1:24" x14ac:dyDescent="0.3">
      <c r="A4" t="s">
        <v>282</v>
      </c>
      <c r="B4" t="s">
        <v>243</v>
      </c>
      <c r="C4" t="str">
        <f t="shared" si="3"/>
        <v>"housevalue":244600}</v>
      </c>
      <c r="D4" t="str">
        <f t="shared" ca="1" si="1"/>
        <v>"hv01":136600,</v>
      </c>
      <c r="E4" t="str">
        <f t="shared" ca="1" si="1"/>
        <v>"hv02":144900,</v>
      </c>
      <c r="F4" t="str">
        <f t="shared" ca="1" si="1"/>
        <v>"hv03":154200,</v>
      </c>
      <c r="G4" t="str">
        <f t="shared" ca="1" si="1"/>
        <v>"hv04":184500,</v>
      </c>
      <c r="H4" t="str">
        <f t="shared" ca="1" si="1"/>
        <v>"hv05":258400,</v>
      </c>
      <c r="I4" t="str">
        <f t="shared" ca="1" si="1"/>
        <v>"hv06":259400,</v>
      </c>
      <c r="J4" t="str">
        <f t="shared" ca="1" si="1"/>
        <v>"hv07":231700,</v>
      </c>
      <c r="K4" t="str">
        <f t="shared" ca="1" si="1"/>
        <v>"hv08":187600,</v>
      </c>
      <c r="L4" t="str">
        <f t="shared" ca="1" si="1"/>
        <v>"hv09":157500,</v>
      </c>
      <c r="M4" t="str">
        <f t="shared" ca="1" si="1"/>
        <v>"hv10":141500,</v>
      </c>
      <c r="N4" t="str">
        <f t="shared" ca="1" si="1"/>
        <v>"hv11":133100,</v>
      </c>
      <c r="O4" t="str">
        <f t="shared" ca="1" si="1"/>
        <v>"hv12":155000,</v>
      </c>
      <c r="P4" t="str">
        <f t="shared" ca="1" si="1"/>
        <v>"hv13":176000,</v>
      </c>
      <c r="Q4" t="str">
        <f t="shared" ca="1" si="1"/>
        <v>"hv14":183700,</v>
      </c>
      <c r="R4" t="str">
        <f t="shared" ca="1" si="1"/>
        <v>"hv15":198000,</v>
      </c>
      <c r="S4" t="str">
        <f t="shared" ca="1" si="1"/>
        <v>"hv16":215300,</v>
      </c>
      <c r="T4" t="str">
        <f t="shared" ca="1" si="2"/>
        <v>"hv17":230900}</v>
      </c>
      <c r="U4" t="str">
        <f t="shared" ref="U4:U52" ca="1" si="5">CONCATENATE(D4,E4,F4,G4,H4,I4,J4,K4,L4,M4,N4,O4,P4,Q4,R4,S4,T4)</f>
        <v>"hv01":136600,"hv02":144900,"hv03":154200,"hv04":184500,"hv05":258400,"hv06":259400,"hv07":231700,"hv08":187600,"hv09":157500,"hv10":141500,"hv11":133100,"hv12":155000,"hv13":176000,"hv14":183700,"hv15":198000,"hv16":215300,"hv17":230900}</v>
      </c>
      <c r="V4" t="s">
        <v>339</v>
      </c>
      <c r="X4" s="4" t="str">
        <f t="shared" si="4"/>
        <v xml:space="preserve">    {"type":"Feature","id":"04","properties":{"name":"Arizona","hv01":136600,"hv02":144900,"hv03":154200,"hv04":184500,"hv05":258400,"hv06":259400,"hv07":231700,"hv08":187600,"hv09":157500,"hv10":141500,"hv11":133100,"hv12":155000,"hv13":176000,"hv14":183700,"hv15":198000,"hv16":215300,"hv17":230900},"geometry":{"type":"Polygon","coordinates":[[[-109.042503,37.000263],[-109.04798,31.331629],[-111.074448,31.331629],[-112.246513,31.704061],[-114.815198,32.492741],[-114.72209,32.717295],[-114.524921,32.755634],[-114.470151,32.843265],[-114.524921,33.029481],[-114.661844,33.034958],[-114.727567,33.40739],[-114.524921,33.54979],[-114.497536,33.697668],[-114.535874,33.933176],[-114.415382,34.108438],[-114.256551,34.174162],[-114.136058,34.305608],[-114.333228,34.448009],[-114.470151,34.710902],[-114.634459,34.87521],[-114.634459,35.00118],[-114.574213,35.138103],[-114.596121,35.324319],[-114.678275,35.516012],[-114.738521,36.102045],[-114.371566,36.140383],[-114.251074,36.01989],[-114.152489,36.025367],[-114.048427,36.195153],[-114.048427,37.000263],[-110.499369,37.00574],[-109.042503,37.000263]]]}},</v>
      </c>
    </row>
    <row r="5" spans="1:24" x14ac:dyDescent="0.3">
      <c r="A5" t="s">
        <v>283</v>
      </c>
      <c r="B5" t="s">
        <v>259</v>
      </c>
      <c r="C5" t="str">
        <f t="shared" si="3"/>
        <v>"housevalue":122800}</v>
      </c>
      <c r="D5" t="str">
        <f t="shared" ca="1" si="1"/>
        <v>"hv01":74800,</v>
      </c>
      <c r="E5" t="str">
        <f t="shared" ca="1" si="1"/>
        <v>"hv02":79100,</v>
      </c>
      <c r="F5" t="str">
        <f t="shared" ca="1" si="1"/>
        <v>"hv03":81800,</v>
      </c>
      <c r="G5" t="str">
        <f t="shared" ca="1" si="1"/>
        <v>"hv04":87900,</v>
      </c>
      <c r="H5" t="str">
        <f t="shared" ca="1" si="1"/>
        <v>"hv05":96400,</v>
      </c>
      <c r="I5" t="str">
        <f t="shared" ca="1" si="1"/>
        <v>"hv06":102400,</v>
      </c>
      <c r="J5" t="str">
        <f t="shared" ca="1" si="1"/>
        <v>"hv07":102800,</v>
      </c>
      <c r="K5" t="str">
        <f t="shared" ca="1" si="1"/>
        <v>"hv08":100000,</v>
      </c>
      <c r="L5" t="str">
        <f t="shared" ca="1" si="1"/>
        <v>"hv09":98100,</v>
      </c>
      <c r="M5" t="str">
        <f t="shared" ca="1" si="1"/>
        <v>"hv10":96000,</v>
      </c>
      <c r="N5" t="str">
        <f t="shared" ca="1" si="1"/>
        <v>"hv11":94000,</v>
      </c>
      <c r="O5" t="str">
        <f t="shared" ca="1" si="1"/>
        <v>"hv12":94900,</v>
      </c>
      <c r="P5" t="str">
        <f t="shared" ca="1" si="1"/>
        <v>"hv13":98700,</v>
      </c>
      <c r="Q5" t="str">
        <f t="shared" ca="1" si="1"/>
        <v>"hv14":101500,</v>
      </c>
      <c r="R5" t="str">
        <f t="shared" ca="1" si="1"/>
        <v>"hv15":106000,</v>
      </c>
      <c r="S5" t="str">
        <f t="shared" ca="1" si="1"/>
        <v>"hv16":112900,</v>
      </c>
      <c r="T5" t="str">
        <f t="shared" ca="1" si="2"/>
        <v>"hv17":116900}</v>
      </c>
      <c r="U5" t="str">
        <f t="shared" ca="1" si="5"/>
        <v>"hv01":74800,"hv02":79100,"hv03":81800,"hv04":87900,"hv05":96400,"hv06":102400,"hv07":102800,"hv08":100000,"hv09":98100,"hv10":96000,"hv11":94000,"hv12":94900,"hv13":98700,"hv14":101500,"hv15":106000,"hv16":112900,"hv17":116900}</v>
      </c>
      <c r="V5" t="s">
        <v>340</v>
      </c>
      <c r="X5" s="4" t="str">
        <f t="shared" si="4"/>
        <v xml:space="preserve">    {"type":"Feature","id":"05","properties":{"name":"Arkansas","hv01":74800,"hv02":79100,"hv03":81800,"hv04":87900,"hv05":96400,"hv06":102400,"hv07":102800,"hv08":100000,"hv09":98100,"hv10":96000,"hv11":94000,"hv12":94900,"hv13":98700,"hv14":101500,"hv15":106000,"hv16":112900,"hv17":116900},"geometry":{"type":"Polygon","coordinates":[[[-94.473842,36.501861],[-90.152536,36.496384],[-90.064905,36.304691],[-90.218259,36.184199],[-90.377091,35.997983],[-89.730812,35.997983],[-89.763673,35.811767],[-89.911551,35.756997],[-89.944412,35.603643],[-90.130628,35.439335],[-90.114197,35.198349],[-90.212782,35.023087],[-90.311367,34.995703],[-90.251121,34.908072],[-90.409952,34.831394],[-90.481152,34.661609],[-90.585214,34.617794],[-90.568783,34.420624],[-90.749522,34.365854],[-90.744046,34.300131],[-90.952169,34.135823],[-90.891923,34.026284],[-91.072662,33.867453],[-91.231493,33.560744],[-91.056231,33.429298],[-91.143862,33.347144],[-91.089093,33.13902],[-91.16577,33.002096],[-93.608485,33.018527],[-94.041164,33.018527],[-94.041164,33.54979],[-94.183564,33.593606],[-94.380734,33.544313],[-94.484796,33.637421],[-94.430026,35.395519],[-94.616242,36.501861],[-94.473842,36.501861]]]}},</v>
      </c>
    </row>
    <row r="6" spans="1:24" x14ac:dyDescent="0.3">
      <c r="A6" t="s">
        <v>284</v>
      </c>
      <c r="B6" t="s">
        <v>228</v>
      </c>
      <c r="C6" t="str">
        <f t="shared" si="3"/>
        <v>"housevalue":544900}</v>
      </c>
      <c r="D6" t="str">
        <f t="shared" ca="1" si="1"/>
        <v>"hv01":262400,</v>
      </c>
      <c r="E6" t="str">
        <f t="shared" ca="1" si="1"/>
        <v>"hv02":305100,</v>
      </c>
      <c r="F6" t="str">
        <f t="shared" ca="1" si="1"/>
        <v>"hv03":366700,</v>
      </c>
      <c r="G6" t="str">
        <f t="shared" ca="1" si="1"/>
        <v>"hv04":464700,</v>
      </c>
      <c r="H6" t="str">
        <f t="shared" ca="1" si="1"/>
        <v>"hv05":528800,</v>
      </c>
      <c r="I6" t="str">
        <f t="shared" ca="1" si="1"/>
        <v>"hv06":526900,</v>
      </c>
      <c r="J6" t="str">
        <f t="shared" ca="1" si="1"/>
        <v>"hv07":466700,</v>
      </c>
      <c r="K6" t="str">
        <f t="shared" ca="1" si="1"/>
        <v>"hv08":369800,</v>
      </c>
      <c r="L6" t="str">
        <f t="shared" ca="1" si="1"/>
        <v>"hv09":334200,</v>
      </c>
      <c r="M6" t="str">
        <f t="shared" ca="1" si="1"/>
        <v>"hv10":323800,</v>
      </c>
      <c r="N6" t="str">
        <f t="shared" ca="1" si="1"/>
        <v>"hv11":301400,</v>
      </c>
      <c r="O6" t="str">
        <f t="shared" ca="1" si="1"/>
        <v>"hv12":326700,</v>
      </c>
      <c r="P6" t="str">
        <f t="shared" ca="1" si="1"/>
        <v>"hv13":390500,</v>
      </c>
      <c r="Q6" t="str">
        <f t="shared" ca="1" si="1"/>
        <v>"hv14":418800,</v>
      </c>
      <c r="R6" t="str">
        <f t="shared" ca="1" si="1"/>
        <v>"hv15":449700,</v>
      </c>
      <c r="S6" t="str">
        <f t="shared" ca="1" si="1"/>
        <v>"hv16":483800,</v>
      </c>
      <c r="T6" t="str">
        <f t="shared" ca="1" si="2"/>
        <v>"hv17":521800}</v>
      </c>
      <c r="U6" t="str">
        <f t="shared" ca="1" si="5"/>
        <v>"hv01":262400,"hv02":305100,"hv03":366700,"hv04":464700,"hv05":528800,"hv06":526900,"hv07":466700,"hv08":369800,"hv09":334200,"hv10":323800,"hv11":301400,"hv12":326700,"hv13":390500,"hv14":418800,"hv15":449700,"hv16":483800,"hv17":521800}</v>
      </c>
      <c r="V6" t="s">
        <v>341</v>
      </c>
      <c r="X6" s="4" t="str">
        <f t="shared" si="4"/>
        <v xml:space="preserve">    {"type":"Feature","id":"06","properties":{"name":"California","hv01":262400,"hv02":305100,"hv03":366700,"hv04":464700,"hv05":528800,"hv06":526900,"hv07":466700,"hv08":369800,"hv09":334200,"hv10":323800,"hv11":301400,"hv12":326700,"hv13":390500,"hv14":418800,"hv15":449700,"hv16":483800,"hv17":521800},"geometry":{"type":"Polygon","coordinates":[[[-123.233256,42.006186],[-122.378853,42.011663],[-121.037003,41.995232],[-120.001861,41.995232],[-119.996384,40.264519],[-120.001861,38.999346],[-118.71478,38.101128],[-117.498899,37.21934],[-116.540435,36.501861],[-115.85034,35.970598],[-114.634459,35.00118],[-114.634459,34.87521],[-114.470151,34.710902],[-114.333228,34.448009],[-114.136058,34.305608],[-114.256551,34.174162],[-114.415382,34.108438],[-114.535874,33.933176],[-114.497536,33.697668],[-114.524921,33.54979],[-114.727567,33.40739],[-114.661844,33.034958],[-114.524921,33.029481],[-114.470151,32.843265],[-114.524921,32.755634],[-114.72209,32.717295],[-116.04751,32.624187],[-117.126467,32.536556],[-117.24696,32.668003],[-117.252437,32.876127],[-117.329114,33.122589],[-117.471515,33.297851],[-117.7837,33.538836],[-118.183517,33.763391],[-118.260194,33.703145],[-118.413548,33.741483],[-118.391641,33.840068],[-118.566903,34.042715],[-118.802411,33.998899],[-119.218659,34.146777],[-119.278905,34.26727],[-119.558229,34.415147],[-119.875891,34.40967],[-120.138784,34.475393],[-120.472878,34.448009],[-120.64814,34.579455],[-120.609801,34.858779],[-120.670048,34.902595],[-120.631709,35.099764],[-120.894602,35.247642],[-120.905556,35.450289],[-121.004141,35.461243],[-121.168449,35.636505],[-121.283465,35.674843],[-121.332757,35.784382],[-121.716143,36.195153],[-121.896882,36.315645],[-121.935221,36.638785],[-121.858544,36.6114],[-121.787344,36.803093],[-121.929744,36.978355],[-122.105006,36.956447],[-122.335038,37.115279],[-122.417192,37.241248],[-122.400761,37.361741],[-122.515777,37.520572],[-122.515777,37.783465],[-122.329561,37.783465],[-122.406238,38.15042],[-122.488392,38.112082],[-122.504823,37.931343],[-122.701993,37.893004],[-122.937501,38.029928],[-122.97584,38.265436],[-123.129194,38.451652],[-123.331841,38.566668],[-123.44138,38.698114],[-123.737134,38.95553],[-123.687842,39.032208],[-123.824765,39.366301],[-123.764519,39.552517],[-123.85215,39.831841],[-124.109566,40.105688],[-124.361506,40.259042],[-124.410798,40.439781],[-124.158859,40.877937],[-124.109566,41.025814],[-124.158859,41.14083],[-124.065751,41.442061],[-124.147905,41.715908],[-124.257444,41.781632],[-124.213628,42.000709],[-123.233256,42.006186]]]}},</v>
      </c>
    </row>
    <row r="7" spans="1:24" x14ac:dyDescent="0.3">
      <c r="A7" t="s">
        <v>285</v>
      </c>
      <c r="B7" t="s">
        <v>249</v>
      </c>
      <c r="C7" t="str">
        <f t="shared" si="3"/>
        <v>"housevalue":368100}</v>
      </c>
      <c r="D7" t="str">
        <f t="shared" ca="1" si="1"/>
        <v>"hv01":199800,</v>
      </c>
      <c r="E7" t="str">
        <f t="shared" ca="1" si="1"/>
        <v>"hv02":206800,</v>
      </c>
      <c r="F7" t="str">
        <f t="shared" ca="1" si="1"/>
        <v>"hv03":212500,</v>
      </c>
      <c r="G7" t="str">
        <f t="shared" ca="1" si="1"/>
        <v>"hv04":219400,</v>
      </c>
      <c r="H7" t="str">
        <f t="shared" ca="1" si="1"/>
        <v>"hv05":227400,</v>
      </c>
      <c r="I7" t="str">
        <f t="shared" ca="1" si="1"/>
        <v>"hv06":231900,</v>
      </c>
      <c r="J7" t="str">
        <f t="shared" ca="1" si="1"/>
        <v>"hv07":228700,</v>
      </c>
      <c r="K7" t="str">
        <f t="shared" ca="1" si="1"/>
        <v>"hv08":220200,</v>
      </c>
      <c r="L7" t="str">
        <f t="shared" ca="1" si="1"/>
        <v>"hv09":216400,</v>
      </c>
      <c r="M7" t="str">
        <f t="shared" ca="1" si="1"/>
        <v>"hv10":209500,</v>
      </c>
      <c r="N7" t="str">
        <f t="shared" ca="1" si="1"/>
        <v>"hv11":206000,</v>
      </c>
      <c r="O7" t="str">
        <f t="shared" ca="1" si="1"/>
        <v>"hv12":219000,</v>
      </c>
      <c r="P7" t="str">
        <f t="shared" ca="1" si="1"/>
        <v>"hv13":236700,</v>
      </c>
      <c r="Q7" t="str">
        <f t="shared" ca="1" si="1"/>
        <v>"hv14":258500,</v>
      </c>
      <c r="R7" t="str">
        <f t="shared" ca="1" si="1"/>
        <v>"hv15":293500,</v>
      </c>
      <c r="S7" t="str">
        <f t="shared" ca="1" si="1"/>
        <v>"hv16":324700,</v>
      </c>
      <c r="T7" t="str">
        <f t="shared" ca="1" si="2"/>
        <v>"hv17":350800}</v>
      </c>
      <c r="U7" t="str">
        <f t="shared" ca="1" si="5"/>
        <v>"hv01":199800,"hv02":206800,"hv03":212500,"hv04":219400,"hv05":227400,"hv06":231900,"hv07":228700,"hv08":220200,"hv09":216400,"hv10":209500,"hv11":206000,"hv12":219000,"hv13":236700,"hv14":258500,"hv15":293500,"hv16":324700,"hv17":350800}</v>
      </c>
      <c r="V7" t="s">
        <v>342</v>
      </c>
      <c r="X7" s="4" t="str">
        <f t="shared" si="4"/>
        <v xml:space="preserve">    {"type":"Feature","id":"08","properties":{"name":"Colorado","hv01":199800,"hv02":206800,"hv03":212500,"hv04":219400,"hv05":227400,"hv06":231900,"hv07":228700,"hv08":220200,"hv09":216400,"hv10":209500,"hv11":206000,"hv12":219000,"hv13":236700,"hv14":258500,"hv15":293500,"hv16":324700,"hv17":350800},"geometry":{"type":"Polygon","coordinates":[[[-107.919731,41.003906],[-105.728954,40.998429],[-104.053011,41.003906],[-102.053927,41.003906],[-102.053927,40.001626],[-102.042974,36.994786],[-103.001438,37.000263],[-104.337812,36.994786],[-106.868158,36.994786],[-107.421329,37.000263],[-109.042503,37.000263],[-109.042503,38.166851],[-109.058934,38.27639],[-109.053457,39.125316],[-109.04798,40.998429],[-107.919731,41.003906]]]}},</v>
      </c>
    </row>
    <row r="8" spans="1:24" x14ac:dyDescent="0.3">
      <c r="A8" t="s">
        <v>286</v>
      </c>
      <c r="B8" t="s">
        <v>256</v>
      </c>
      <c r="C8" t="str">
        <f t="shared" si="3"/>
        <v>"housevalue":241800}</v>
      </c>
      <c r="D8" t="str">
        <f t="shared" ca="1" si="1"/>
        <v>"hv01":181700,</v>
      </c>
      <c r="E8" t="str">
        <f t="shared" ca="1" si="1"/>
        <v>"hv02":203200,</v>
      </c>
      <c r="F8" t="str">
        <f t="shared" ca="1" si="1"/>
        <v>"hv03":232400,</v>
      </c>
      <c r="G8" t="str">
        <f t="shared" ca="1" si="1"/>
        <v>"hv04":261900,</v>
      </c>
      <c r="H8" t="str">
        <f t="shared" ca="1" si="1"/>
        <v>"hv05":287200,</v>
      </c>
      <c r="I8" t="str">
        <f t="shared" ca="1" si="1"/>
        <v>"hv06":287100,</v>
      </c>
      <c r="J8" t="str">
        <f t="shared" ca="1" si="1"/>
        <v>"hv07":276900,</v>
      </c>
      <c r="K8" t="str">
        <f t="shared" ca="1" si="1"/>
        <v>"hv08":256200,</v>
      </c>
      <c r="L8" t="str">
        <f t="shared" ca="1" si="1"/>
        <v>"hv09":243100,</v>
      </c>
      <c r="M8" t="str">
        <f t="shared" ca="1" si="1"/>
        <v>"hv10":232900,</v>
      </c>
      <c r="N8" t="str">
        <f t="shared" ca="1" si="1"/>
        <v>"hv11":220500,</v>
      </c>
      <c r="O8" t="str">
        <f t="shared" ca="1" si="1"/>
        <v>"hv12":215700,</v>
      </c>
      <c r="P8" t="str">
        <f t="shared" ca="1" si="1"/>
        <v>"hv13":221600,</v>
      </c>
      <c r="Q8" t="str">
        <f t="shared" ca="1" si="1"/>
        <v>"hv14":221000,</v>
      </c>
      <c r="R8" t="str">
        <f t="shared" ca="1" si="1"/>
        <v>"hv15":222600,</v>
      </c>
      <c r="S8" t="str">
        <f t="shared" ca="1" si="1"/>
        <v>"hv16":226900,</v>
      </c>
      <c r="T8" t="str">
        <f t="shared" ca="1" si="2"/>
        <v>"hv17":236000}</v>
      </c>
      <c r="U8" t="str">
        <f t="shared" ca="1" si="5"/>
        <v>"hv01":181700,"hv02":203200,"hv03":232400,"hv04":261900,"hv05":287200,"hv06":287100,"hv07":276900,"hv08":256200,"hv09":243100,"hv10":232900,"hv11":220500,"hv12":215700,"hv13":221600,"hv14":221000,"hv15":222600,"hv16":226900,"hv17":236000}</v>
      </c>
      <c r="V8" t="s">
        <v>343</v>
      </c>
      <c r="X8" s="4" t="str">
        <f t="shared" si="4"/>
        <v xml:space="preserve">    {"type":"Feature","id":"09","properties":{"name":"Connecticut","hv01":181700,"hv02":203200,"hv03":232400,"hv04":261900,"hv05":287200,"hv06":287100,"hv07":276900,"hv08":256200,"hv09":243100,"hv10":232900,"hv11":220500,"hv12":215700,"hv13":221600,"hv14":221000,"hv15":222600,"hv16":226900,"hv17":236000},"geometry":{"type":"Polygon","coordinates":[[[-73.053528,42.039048],[-71.799309,42.022617],[-71.799309,42.006186],[-71.799309,41.414677],[-71.859555,41.321569],[-71.947186,41.338],[-72.385341,41.261322],[-72.905651,41.28323],[-73.130205,41.146307],[-73.371191,41.102491],[-73.655992,40.987475],[-73.727192,41.102491],[-73.48073,41.21203],[-73.55193,41.294184],[-73.486206,42.050002],[-73.053528,42.039048]]]}},</v>
      </c>
    </row>
    <row r="9" spans="1:24" x14ac:dyDescent="0.3">
      <c r="A9" t="s">
        <v>287</v>
      </c>
      <c r="B9" t="s">
        <v>272</v>
      </c>
      <c r="C9" t="str">
        <f t="shared" si="3"/>
        <v>"housevalue":232100}</v>
      </c>
      <c r="D9" t="str">
        <f t="shared" ca="1" si="1"/>
        <v>"hv01":137800,</v>
      </c>
      <c r="E9" t="str">
        <f t="shared" ca="1" si="1"/>
        <v>"hv02":149800,</v>
      </c>
      <c r="F9" t="str">
        <f t="shared" ca="1" si="1"/>
        <v>"hv03":170300,</v>
      </c>
      <c r="G9" t="str">
        <f t="shared" ca="1" si="1"/>
        <v>"hv04":210200,</v>
      </c>
      <c r="H9" t="str">
        <f t="shared" ca="1" si="1"/>
        <v>"hv05":220700,</v>
      </c>
      <c r="I9" t="str">
        <f t="shared" ca="1" si="1"/>
        <v>"hv06":233200,</v>
      </c>
      <c r="J9" t="str">
        <f t="shared" ca="1" si="1"/>
        <v>"hv07":236600,</v>
      </c>
      <c r="K9" t="str">
        <f t="shared" ca="1" si="1"/>
        <v>"hv08":229200,</v>
      </c>
      <c r="L9" t="str">
        <f t="shared" ca="1" si="1"/>
        <v>"hv09":218000,</v>
      </c>
      <c r="M9" t="str">
        <f t="shared" ca="1" si="1"/>
        <v>"hv10":223500,</v>
      </c>
      <c r="N9" t="str">
        <f t="shared" ca="1" si="1"/>
        <v>"hv11":197300,</v>
      </c>
      <c r="O9" t="str">
        <f t="shared" ca="1" si="1"/>
        <v>"hv12":186400,</v>
      </c>
      <c r="P9" t="str">
        <f t="shared" ca="1" si="1"/>
        <v>"hv13":194200,</v>
      </c>
      <c r="Q9" t="str">
        <f t="shared" ca="1" si="1"/>
        <v>"hv14":199200,</v>
      </c>
      <c r="R9" t="str">
        <f t="shared" ca="1" si="1"/>
        <v>"hv15":208500,</v>
      </c>
      <c r="S9" t="str">
        <f t="shared" ca="1" si="1"/>
        <v>"hv16":219000,</v>
      </c>
      <c r="T9" t="str">
        <f t="shared" ca="1" si="2"/>
        <v>"hv17":236400}</v>
      </c>
      <c r="U9" t="str">
        <f t="shared" ca="1" si="5"/>
        <v>"hv01":137800,"hv02":149800,"hv03":170300,"hv04":210200,"hv05":220700,"hv06":233200,"hv07":236600,"hv08":229200,"hv09":218000,"hv10":223500,"hv11":197300,"hv12":186400,"hv13":194200,"hv14":199200,"hv15":208500,"hv16":219000,"hv17":236400}</v>
      </c>
      <c r="V9" t="s">
        <v>344</v>
      </c>
      <c r="X9" s="4" t="str">
        <f t="shared" si="4"/>
        <v xml:space="preserve">    {"type":"Feature","id":"10","properties":{"name":"Delaware","hv01":137800,"hv02":149800,"hv03":170300,"hv04":210200,"hv05":220700,"hv06":233200,"hv07":236600,"hv08":229200,"hv09":218000,"hv10":223500,"hv11":197300,"hv12":186400,"hv13":194200,"hv14":199200,"hv15":208500,"hv16":219000,"hv17":236400},"geometry":{"type":"Polygon","coordinates":[[[-75.414089,39.804456],[-75.507197,39.683964],[-75.611259,39.61824],[-75.589352,39.459409],[-75.441474,39.311532],[-75.403136,39.065069],[-75.189535,38.807653],[-75.09095,38.796699],[-75.047134,38.451652],[-75.693413,38.462606],[-75.786521,39.722302],[-75.616736,39.831841],[-75.414089,39.804456]]]}},</v>
      </c>
    </row>
    <row r="10" spans="1:24" x14ac:dyDescent="0.3">
      <c r="A10" t="s">
        <v>288</v>
      </c>
      <c r="B10" t="s">
        <v>277</v>
      </c>
      <c r="C10" t="str">
        <f t="shared" si="3"/>
        <v>"housevalue":572100}</v>
      </c>
      <c r="D10" t="str">
        <f t="shared" ca="1" si="1"/>
        <v>"hv01":178900,</v>
      </c>
      <c r="E10" t="str">
        <f t="shared" ca="1" si="1"/>
        <v>"hv02":220900,</v>
      </c>
      <c r="F10" t="str">
        <f t="shared" ca="1" si="1"/>
        <v>"hv03":273800,</v>
      </c>
      <c r="G10" t="str">
        <f t="shared" ca="1" si="1"/>
        <v>"hv04":343200,</v>
      </c>
      <c r="H10" t="str">
        <f t="shared" ca="1" si="1"/>
        <v>"hv05":391600,</v>
      </c>
      <c r="I10" t="str">
        <f t="shared" ca="1" si="1"/>
        <v>"hv06":400100,</v>
      </c>
      <c r="J10" t="str">
        <f t="shared" ca="1" si="1"/>
        <v>"hv07":397700,</v>
      </c>
      <c r="K10" t="str">
        <f t="shared" ca="1" si="1"/>
        <v>"hv08":369000,</v>
      </c>
      <c r="L10" t="str">
        <f t="shared" ca="1" si="1"/>
        <v>"hv09":353000,</v>
      </c>
      <c r="M10" t="str">
        <f t="shared" ca="1" si="1"/>
        <v>"hv10":355900,</v>
      </c>
      <c r="N10" t="str">
        <f t="shared" ca="1" si="1"/>
        <v>"hv11":352600,</v>
      </c>
      <c r="O10" t="str">
        <f t="shared" ca="1" si="1"/>
        <v>"hv12":384800,</v>
      </c>
      <c r="P10" t="str">
        <f t="shared" ca="1" si="1"/>
        <v>"hv13":428900,</v>
      </c>
      <c r="Q10" t="str">
        <f t="shared" ca="1" si="1"/>
        <v>"hv14":452600,</v>
      </c>
      <c r="R10" t="str">
        <f t="shared" ca="1" si="1"/>
        <v>"hv15":482900,</v>
      </c>
      <c r="S10" t="str">
        <f t="shared" ca="1" si="1"/>
        <v>"hv16":528300,</v>
      </c>
      <c r="T10" t="str">
        <f t="shared" ca="1" si="2"/>
        <v>"hv17":548500}</v>
      </c>
      <c r="U10" t="str">
        <f t="shared" ca="1" si="5"/>
        <v>"hv01":178900,"hv02":220900,"hv03":273800,"hv04":343200,"hv05":391600,"hv06":400100,"hv07":397700,"hv08":369000,"hv09":353000,"hv10":355900,"hv11":352600,"hv12":384800,"hv13":428900,"hv14":452600,"hv15":482900,"hv16":528300,"hv17":548500}</v>
      </c>
      <c r="V10" t="s">
        <v>345</v>
      </c>
      <c r="X10" s="4" t="str">
        <f t="shared" si="4"/>
        <v xml:space="preserve">    {"type":"Feature","id":"11","properties":{"name":"District of Columbia","hv01":178900,"hv02":220900,"hv03":273800,"hv04":343200,"hv05":391600,"hv06":400100,"hv07":397700,"hv08":369000,"hv09":353000,"hv10":355900,"hv11":352600,"hv12":384800,"hv13":428900,"hv14":452600,"hv15":482900,"hv16":528300,"hv17":548500},"geometry":{"type":"Polygon","coordinates":[[[-77.035264,38.993869],[-76.909294,38.895284],[-77.040741,38.791222],[-77.117418,38.933623],[-77.035264,38.993869]]]}},</v>
      </c>
    </row>
    <row r="11" spans="1:24" x14ac:dyDescent="0.3">
      <c r="A11" t="s">
        <v>289</v>
      </c>
      <c r="B11" t="s">
        <v>231</v>
      </c>
      <c r="C11" t="str">
        <f t="shared" si="3"/>
        <v>"housevalue":227800}</v>
      </c>
      <c r="D11" t="str">
        <f t="shared" ca="1" si="1"/>
        <v>"hv01":121700,</v>
      </c>
      <c r="E11" t="str">
        <f t="shared" ca="1" si="1"/>
        <v>"hv02":133100,</v>
      </c>
      <c r="F11" t="str">
        <f t="shared" ca="1" si="1"/>
        <v>"hv03":150700,</v>
      </c>
      <c r="G11" t="str">
        <f t="shared" ca="1" si="1"/>
        <v>"hv04":184200,</v>
      </c>
      <c r="H11" t="str">
        <f t="shared" ca="1" si="1"/>
        <v>"hv05":240000,</v>
      </c>
      <c r="I11" t="str">
        <f t="shared" ca="1" si="1"/>
        <v>"hv06":254900,</v>
      </c>
      <c r="J11" t="str">
        <f t="shared" ca="1" si="1"/>
        <v>"hv07":221300,</v>
      </c>
      <c r="K11" t="str">
        <f t="shared" ca="1" si="1"/>
        <v>"hv08":173900,</v>
      </c>
      <c r="L11" t="str">
        <f t="shared" ca="1" si="1"/>
        <v>"hv09":142800,</v>
      </c>
      <c r="M11" t="str">
        <f t="shared" ca="1" si="1"/>
        <v>"hv10":130500,</v>
      </c>
      <c r="N11" t="str">
        <f t="shared" ca="1" si="1"/>
        <v>"hv11":123600,</v>
      </c>
      <c r="O11" t="str">
        <f t="shared" ca="1" si="1"/>
        <v>"hv12":128700,</v>
      </c>
      <c r="P11" t="str">
        <f t="shared" ca="1" si="1"/>
        <v>"hv13":144700,</v>
      </c>
      <c r="Q11" t="str">
        <f t="shared" ca="1" si="1"/>
        <v>"hv14":158000,</v>
      </c>
      <c r="R11" t="str">
        <f t="shared" ca="1" si="1"/>
        <v>"hv15":173700,</v>
      </c>
      <c r="S11" t="str">
        <f t="shared" ca="1" si="1"/>
        <v>"hv16":195400,</v>
      </c>
      <c r="T11" t="str">
        <f t="shared" ca="1" si="2"/>
        <v>"hv17":214200}</v>
      </c>
      <c r="U11" t="str">
        <f t="shared" ca="1" si="5"/>
        <v>"hv01":121700,"hv02":133100,"hv03":150700,"hv04":184200,"hv05":240000,"hv06":254900,"hv07":221300,"hv08":173900,"hv09":142800,"hv10":130500,"hv11":123600,"hv12":128700,"hv13":144700,"hv14":158000,"hv15":173700,"hv16":195400,"hv17":214200}</v>
      </c>
      <c r="V11" t="s">
        <v>346</v>
      </c>
      <c r="X11" s="4" t="str">
        <f t="shared" si="4"/>
        <v xml:space="preserve">    {"type":"Feature","id":"12","properties":{"name":"Florida","hv01":121700,"hv02":133100,"hv03":150700,"hv04":184200,"hv05":240000,"hv06":254900,"hv07":221300,"hv08":173900,"hv09":142800,"hv10":130500,"hv11":123600,"hv12":128700,"hv13":144700,"hv14":158000,"hv15":173700,"hv16":195400,"hv17":214200},"geometry":{"type":"Polygon","coordinates":[[[-85.497137,30.997536],[-85.004212,31.003013],[-84.867289,30.712735],[-83.498053,30.647012],[-82.216449,30.570335],[-82.167157,30.356734],[-82.046664,30.362211],[-82.002849,30.564858],[-82.041187,30.751074],[-81.948079,30.827751],[-81.718048,30.745597],[-81.444201,30.707258],[-81.383954,30.27458],[-81.257985,29.787132],[-80.967707,29.14633],[-80.524075,28.461713],[-80.589798,28.41242],[-80.56789,28.094758],[-80.381674,27.738757],[-80.091397,27.021277],[-80.03115,26.796723],[-80.036627,26.566691],[-80.146166,25.739673],[-80.239274,25.723243],[-80.337859,25.465826],[-80.304997,25.383672],[-80.49669,25.197456],[-80.573367,25.241272],[-80.759583,25.164595],[-81.077246,25.120779],[-81.170354,25.224841],[-81.126538,25.378195],[-81.351093,25.821827],[-81.526355,25.903982],[-81.679709,25.843735],[-81.800202,26.090198],[-81.833064,26.292844],[-82.041187,26.517399],[-82.09048,26.665276],[-82.057618,26.878877],[-82.172634,26.917216],[-82.145249,26.791246],[-82.249311,26.758384],[-82.566974,27.300601],[-82.692943,27.437525],[-82.391711,27.837342],[-82.588881,27.815434],[-82.720328,27.689464],[-82.851774,27.886634],[-82.676512,28.434328],[-82.643651,28.888914],[-82.764143,28.998453],[-82.802482,29.14633],[-82.994175,29.179192],[-83.218729,29.420177],[-83.399469,29.518762],[-83.410422,29.66664],[-83.536392,29.721409],[-83.640454,29.885717],[-84.02384,30.104795],[-84.357933,30.055502],[-84.341502,29.902148],[-84.451041,29.929533],[-84.867289,29.743317],[-85.310921,29.699501],[-85.299967,29.80904],[-85.404029,29.940487],[-85.924338,30.236241],[-86.29677,30.362211],[-86.630863,30.395073],[-86.910187,30.373165],[-87.518128,30.280057],[-87.37025,30.427934],[-87.446927,30.510088],[-87.408589,30.674397],[-87.633143,30.86609],[-87.600282,30.997536],[-85.497137,30.997536]]]}},</v>
      </c>
    </row>
    <row r="12" spans="1:24" x14ac:dyDescent="0.3">
      <c r="A12" t="s">
        <v>290</v>
      </c>
      <c r="B12" t="s">
        <v>236</v>
      </c>
      <c r="C12" t="str">
        <f t="shared" si="3"/>
        <v>"housevalue":179200}</v>
      </c>
      <c r="D12" t="str">
        <f t="shared" ref="D12:S21" ca="1" si="6">CHAR(34)&amp;D$56&amp;CHAR(34)&amp;":"&amp;INDIRECT("HV_RAW_VALUE!"&amp;D$1&amp;ROW($A12))&amp;","</f>
        <v>"hv01":131100,</v>
      </c>
      <c r="E12" t="str">
        <f t="shared" ca="1" si="6"/>
        <v>"hv02":137900,</v>
      </c>
      <c r="F12" t="str">
        <f t="shared" ca="1" si="6"/>
        <v>"hv03":141900,</v>
      </c>
      <c r="G12" t="str">
        <f t="shared" ca="1" si="6"/>
        <v>"hv04":149600,</v>
      </c>
      <c r="H12" t="str">
        <f t="shared" ca="1" si="6"/>
        <v>"hv05":155300,</v>
      </c>
      <c r="I12" t="str">
        <f t="shared" ca="1" si="6"/>
        <v>"hv06":162200,</v>
      </c>
      <c r="J12" t="str">
        <f t="shared" ca="1" si="6"/>
        <v>"hv07":161800,</v>
      </c>
      <c r="K12" t="str">
        <f t="shared" ca="1" si="6"/>
        <v>"hv08":149100,</v>
      </c>
      <c r="L12" t="str">
        <f t="shared" ca="1" si="6"/>
        <v>"hv09":136300,</v>
      </c>
      <c r="M12" t="str">
        <f t="shared" ca="1" si="6"/>
        <v>"hv10":126100,</v>
      </c>
      <c r="N12" t="str">
        <f t="shared" ca="1" si="6"/>
        <v>"hv11":111800,</v>
      </c>
      <c r="O12" t="str">
        <f t="shared" ca="1" si="6"/>
        <v>"hv12":112800,</v>
      </c>
      <c r="P12" t="str">
        <f t="shared" ca="1" si="6"/>
        <v>"hv13":123800,</v>
      </c>
      <c r="Q12" t="str">
        <f t="shared" ca="1" si="6"/>
        <v>"hv14":134900,</v>
      </c>
      <c r="R12" t="str">
        <f t="shared" ca="1" si="6"/>
        <v>"hv15":143000,</v>
      </c>
      <c r="S12" t="str">
        <f t="shared" ca="1" si="6"/>
        <v>"hv16":154800,</v>
      </c>
      <c r="T12" t="str">
        <f t="shared" ca="1" si="2"/>
        <v>"hv17":166900}</v>
      </c>
      <c r="U12" t="str">
        <f t="shared" ca="1" si="5"/>
        <v>"hv01":131100,"hv02":137900,"hv03":141900,"hv04":149600,"hv05":155300,"hv06":162200,"hv07":161800,"hv08":149100,"hv09":136300,"hv10":126100,"hv11":111800,"hv12":112800,"hv13":123800,"hv14":134900,"hv15":143000,"hv16":154800,"hv17":166900}</v>
      </c>
      <c r="V12" t="s">
        <v>347</v>
      </c>
      <c r="X12" s="4" t="str">
        <f t="shared" si="4"/>
        <v xml:space="preserve">    {"type":"Feature","id":"13","properties":{"name":"Georgia","hv01":131100,"hv02":137900,"hv03":141900,"hv04":149600,"hv05":155300,"hv06":162200,"hv07":161800,"hv08":149100,"hv09":136300,"hv10":126100,"hv11":111800,"hv12":112800,"hv13":123800,"hv14":134900,"hv15":143000,"hv16":154800,"hv17":166900},"geometry":{"type":"Polygon","coordinates":[[[-83.109191,35.00118],[-83.322791,34.787579],[-83.339222,34.683517],[-83.005129,34.469916],[-82.901067,34.486347],[-82.747713,34.26727],[-82.714851,34.152254],[-82.55602,33.94413],[-82.325988,33.81816],[-82.194542,33.631944],[-81.926172,33.462159],[-81.937125,33.347144],[-81.761863,33.160928],[-81.493493,33.007573],[-81.42777,32.843265],[-81.416816,32.629664],[-81.279893,32.558464],[-81.121061,32.290094],[-81.115584,32.120309],[-80.885553,32.032678],[-81.132015,31.693108],[-81.175831,31.517845],[-81.279893,31.364491],[-81.290846,31.20566],[-81.400385,31.13446],[-81.444201,30.707258],[-81.718048,30.745597],[-81.948079,30.827751],[-82.041187,30.751074],[-82.002849,30.564858],[-82.046664,30.362211],[-82.167157,30.356734],[-82.216449,30.570335],[-83.498053,30.647012],[-84.867289,30.712735],[-85.004212,31.003013],[-85.113751,31.27686],[-85.042551,31.539753],[-85.141136,31.840985],[-85.053504,32.01077],[-85.058981,32.13674],[-84.889196,32.262709],[-85.004212,32.322956],[-84.960397,32.421541],[-85.069935,32.580372],[-85.184951,32.859696],[-85.431413,34.124869],[-85.606675,34.984749],[-84.319594,34.990226],[-83.618546,34.984749],[-83.109191,35.00118]]]}},</v>
      </c>
    </row>
    <row r="13" spans="1:24" x14ac:dyDescent="0.3">
      <c r="A13" t="s">
        <v>291</v>
      </c>
      <c r="B13" t="s">
        <v>267</v>
      </c>
      <c r="C13" t="str">
        <f t="shared" si="3"/>
        <v>"housevalue":619000}</v>
      </c>
      <c r="D13" t="str">
        <f t="shared" ca="1" si="6"/>
        <v>"hv01":229800,</v>
      </c>
      <c r="E13" t="str">
        <f t="shared" ca="1" si="6"/>
        <v>"hv02":256500,</v>
      </c>
      <c r="F13" t="str">
        <f t="shared" ca="1" si="6"/>
        <v>"hv03":312500,</v>
      </c>
      <c r="G13" t="str">
        <f t="shared" ca="1" si="6"/>
        <v>"hv04":413200,</v>
      </c>
      <c r="H13" t="str">
        <f t="shared" ca="1" si="6"/>
        <v>"hv05":509400,</v>
      </c>
      <c r="I13" t="str">
        <f t="shared" ca="1" si="6"/>
        <v>"hv06":534700,</v>
      </c>
      <c r="J13" t="str">
        <f t="shared" ca="1" si="6"/>
        <v>"hv07":518100,</v>
      </c>
      <c r="K13" t="str">
        <f t="shared" ca="1" si="6"/>
        <v>"hv08":464600,</v>
      </c>
      <c r="L13" t="str">
        <f t="shared" ca="1" si="6"/>
        <v>"hv09":422500,</v>
      </c>
      <c r="M13" t="str">
        <f t="shared" ca="1" si="6"/>
        <v>"hv10":416500,</v>
      </c>
      <c r="N13" t="str">
        <f t="shared" ca="1" si="6"/>
        <v>"hv11":401900,</v>
      </c>
      <c r="O13" t="str">
        <f t="shared" ca="1" si="6"/>
        <v>"hv12":426200,</v>
      </c>
      <c r="P13" t="str">
        <f t="shared" ca="1" si="6"/>
        <v>"hv13":464900,</v>
      </c>
      <c r="Q13" t="str">
        <f t="shared" ca="1" si="6"/>
        <v>"hv14":500700,</v>
      </c>
      <c r="R13" t="str">
        <f t="shared" ca="1" si="6"/>
        <v>"hv15":525300,</v>
      </c>
      <c r="S13" t="str">
        <f t="shared" ca="1" si="6"/>
        <v>"hv16":567200,</v>
      </c>
      <c r="T13" t="str">
        <f t="shared" ca="1" si="2"/>
        <v>"hv17":589300}</v>
      </c>
      <c r="U13" t="str">
        <f t="shared" ca="1" si="5"/>
        <v>"hv01":229800,"hv02":256500,"hv03":312500,"hv04":413200,"hv05":509400,"hv06":534700,"hv07":518100,"hv08":464600,"hv09":422500,"hv10":416500,"hv11":401900,"hv12":426200,"hv13":464900,"hv14":500700,"hv15":525300,"hv16":567200,"hv17":589300}</v>
      </c>
      <c r="V13" t="s">
        <v>348</v>
      </c>
      <c r="X13" s="4" t="str">
        <f t="shared" si="4"/>
        <v xml:space="preserve">    {"type":"Feature","id":"15","properties":{"name":"Hawaii","hv01":229800,"hv02":256500,"hv03":312500,"hv04":413200,"hv05":509400,"hv06":534700,"hv07":518100,"hv08":464600,"hv09":422500,"hv10":416500,"hv11":401900,"hv12":426200,"hv13":464900,"hv14":500700,"hv15":525300,"hv16":567200,"hv17":589300},"geometry":{"type":"MultiPolygon","coordinates":[[[[-155.634835,18.948267],[-155.881297,19.035898],[-155.919636,19.123529],[-155.886774,19.348084],[-156.062036,19.73147],[-155.925113,19.857439],[-155.826528,20.032702],[-155.897728,20.147717],[-155.87582,20.26821],[-155.596496,20.12581],[-155.284311,20.021748],[-155.092618,19.868393],[-155.092618,19.736947],[-154.807817,19.523346],[-154.983079,19.348084],[-155.295265,19.26593],[-155.514342,19.134483],[-155.634835,18.948267]]],[[[-156.587823,21.029505],[-156.472807,20.892581],[-156.324929,20.952827],[-156.00179,20.793996],[-156.051082,20.651596],[-156.379699,20.580396],[-156.445422,20.60778],[-156.461853,20.783042],[-156.631638,20.821381],[-156.697361,20.919966],[-156.587823,21.029505]]],[[[-156.982162,21.210244],[-157.080747,21.106182],[-157.310779,21.106182],[-157.239579,21.221198],[-156.982162,21.210244]]],[[[-157.951581,21.697691],[-157.842042,21.462183],[-157.896811,21.325259],[-158.110412,21.303352],[-158.252813,21.582676],[-158.126843,21.588153],[-157.951581,21.697691]]],[[[-159.468693,22.228955],[-159.353678,22.218001],[-159.298908,22.113939],[-159.33177,21.966061],[-159.446786,21.872953],[-159.764448,21.987969],[-159.726109,22.152277],[-159.468693,22.228955]]]]}},</v>
      </c>
    </row>
    <row r="14" spans="1:24" x14ac:dyDescent="0.3">
      <c r="A14" t="s">
        <v>292</v>
      </c>
      <c r="B14" t="s">
        <v>266</v>
      </c>
      <c r="C14" t="str">
        <f t="shared" si="3"/>
        <v>"housevalue":241300}</v>
      </c>
      <c r="D14" t="str">
        <f t="shared" ca="1" si="6"/>
        <v>"hv01":123700,</v>
      </c>
      <c r="E14" t="str">
        <f t="shared" ca="1" si="6"/>
        <v>"hv02":127200,</v>
      </c>
      <c r="F14" t="str">
        <f t="shared" ca="1" si="6"/>
        <v>"hv03":132000,</v>
      </c>
      <c r="G14" t="str">
        <f t="shared" ca="1" si="6"/>
        <v>"hv04":142100,</v>
      </c>
      <c r="H14" t="str">
        <f t="shared" ca="1" si="6"/>
        <v>"hv05":166400,</v>
      </c>
      <c r="I14" t="str">
        <f t="shared" ca="1" si="6"/>
        <v>"hv06":188900,</v>
      </c>
      <c r="J14" t="str">
        <f t="shared" ca="1" si="6"/>
        <v>"hv07":191600,</v>
      </c>
      <c r="K14" t="str">
        <f t="shared" ca="1" si="6"/>
        <v>"hv08":180500,</v>
      </c>
      <c r="L14" t="str">
        <f t="shared" ca="1" si="6"/>
        <v>"hv09":165300,</v>
      </c>
      <c r="M14" t="str">
        <f t="shared" ca="1" si="6"/>
        <v>"hv10":150900,</v>
      </c>
      <c r="N14" t="str">
        <f t="shared" ca="1" si="6"/>
        <v>"hv11":141900,</v>
      </c>
      <c r="O14" t="str">
        <f t="shared" ca="1" si="6"/>
        <v>"hv12":148400,</v>
      </c>
      <c r="P14" t="str">
        <f t="shared" ca="1" si="6"/>
        <v>"hv13":162800,</v>
      </c>
      <c r="Q14" t="str">
        <f t="shared" ca="1" si="6"/>
        <v>"hv14":171900,</v>
      </c>
      <c r="R14" t="str">
        <f t="shared" ca="1" si="6"/>
        <v>"hv15":182700,</v>
      </c>
      <c r="S14" t="str">
        <f t="shared" ca="1" si="6"/>
        <v>"hv16":198200,</v>
      </c>
      <c r="T14" t="str">
        <f t="shared" ca="1" si="2"/>
        <v>"hv17":219200}</v>
      </c>
      <c r="U14" t="str">
        <f t="shared" ca="1" si="5"/>
        <v>"hv01":123700,"hv02":127200,"hv03":132000,"hv04":142100,"hv05":166400,"hv06":188900,"hv07":191600,"hv08":180500,"hv09":165300,"hv10":150900,"hv11":141900,"hv12":148400,"hv13":162800,"hv14":171900,"hv15":182700,"hv16":198200,"hv17":219200}</v>
      </c>
      <c r="V14" t="s">
        <v>349</v>
      </c>
      <c r="X14" s="4" t="str">
        <f t="shared" si="4"/>
        <v xml:space="preserve">    {"type":"Feature","id":"16","properties":{"name":"Idaho","hv01":123700,"hv02":127200,"hv03":132000,"hv04":142100,"hv05":166400,"hv06":188900,"hv07":191600,"hv08":180500,"hv09":165300,"hv10":150900,"hv11":141900,"hv12":148400,"hv13":162800,"hv14":171900,"hv15":182700,"hv16":198200,"hv17":219200},"geometry":{"type":"Polygon","coordinates":[[[-116.04751,49.000239],[-116.04751,47.976051],[-115.724371,47.696727],[-115.718894,47.42288],[-115.527201,47.302388],[-115.324554,47.258572],[-115.302646,47.187372],[-114.930214,46.919002],[-114.886399,46.809463],[-114.623506,46.705401],[-114.612552,46.639678],[-114.322274,46.645155],[-114.464674,46.272723],[-114.492059,46.037214],[-114.387997,45.88386],[-114.568736,45.774321],[-114.497536,45.670259],[-114.546828,45.560721],[-114.333228,45.456659],[-114.086765,45.593582],[-113.98818,45.703121],[-113.807441,45.604536],[-113.834826,45.522382],[-113.736241,45.330689],[-113.571933,45.128042],[-113.45144,45.056842],[-113.456917,44.865149],[-113.341901,44.782995],[-113.133778,44.772041],[-113.002331,44.448902],[-112.887315,44.394132],[-112.783254,44.48724],[-112.471068,44.481763],[-112.241036,44.569394],[-112.104113,44.520102],[-111.868605,44.563917],[-111.819312,44.509148],[-111.616665,44.547487],[-111.386634,44.75561],[-111.227803,44.580348],[-111.047063,44.476286],[-111.047063,42.000709],[-112.164359,41.995232],[-114.04295,41.995232],[-117.027882,42.000709],[-117.027882,43.830007],[-116.896436,44.158624],[-116.97859,44.240778],[-117.170283,44.257209],[-117.241483,44.394132],[-117.038836,44.750133],[-116.934774,44.782995],[-116.830713,44.930872],[-116.847143,45.02398],[-116.732128,45.144473],[-116.671881,45.319735],[-116.463758,45.61549],[-116.545912,45.752413],[-116.78142,45.823614],[-116.918344,45.993399],[-116.92382,46.168661],[-117.055267,46.343923],[-117.038836,46.426077],[-117.044313,47.762451],[-117.033359,49.000239],[-116.04751,49.000239]]]}},</v>
      </c>
    </row>
    <row r="15" spans="1:24" x14ac:dyDescent="0.3">
      <c r="A15" t="s">
        <v>293</v>
      </c>
      <c r="B15" t="s">
        <v>232</v>
      </c>
      <c r="C15" t="str">
        <f t="shared" si="3"/>
        <v>"housevalue":176800}</v>
      </c>
      <c r="D15" t="str">
        <f t="shared" ca="1" si="6"/>
        <v>"hv01":148700,</v>
      </c>
      <c r="E15" t="str">
        <f t="shared" ca="1" si="6"/>
        <v>"hv02":158400,</v>
      </c>
      <c r="F15" t="str">
        <f t="shared" ca="1" si="6"/>
        <v>"hv03":167700,</v>
      </c>
      <c r="G15" t="str">
        <f t="shared" ca="1" si="6"/>
        <v>"hv04":180600,</v>
      </c>
      <c r="H15" t="str">
        <f t="shared" ca="1" si="6"/>
        <v>"hv05":194600,</v>
      </c>
      <c r="I15" t="str">
        <f t="shared" ca="1" si="6"/>
        <v>"hv06":203200,</v>
      </c>
      <c r="J15" t="str">
        <f t="shared" ca="1" si="6"/>
        <v>"hv07":199300,</v>
      </c>
      <c r="K15" t="str">
        <f t="shared" ca="1" si="6"/>
        <v>"hv08":181200,</v>
      </c>
      <c r="L15" t="str">
        <f t="shared" ca="1" si="6"/>
        <v>"hv09":162600,</v>
      </c>
      <c r="M15" t="str">
        <f t="shared" ca="1" si="6"/>
        <v>"hv10":150200,</v>
      </c>
      <c r="N15" t="str">
        <f t="shared" ca="1" si="6"/>
        <v>"hv11":136800,</v>
      </c>
      <c r="O15" t="str">
        <f t="shared" ca="1" si="6"/>
        <v>"hv12":135100,</v>
      </c>
      <c r="P15" t="str">
        <f t="shared" ca="1" si="6"/>
        <v>"hv13":141800,</v>
      </c>
      <c r="Q15" t="str">
        <f t="shared" ca="1" si="6"/>
        <v>"hv14":149100,</v>
      </c>
      <c r="R15" t="str">
        <f t="shared" ca="1" si="6"/>
        <v>"hv15":155800,</v>
      </c>
      <c r="S15" t="str">
        <f t="shared" ca="1" si="6"/>
        <v>"hv16":163000,</v>
      </c>
      <c r="T15" t="str">
        <f t="shared" ca="1" si="2"/>
        <v>"hv17":171200}</v>
      </c>
      <c r="U15" t="str">
        <f t="shared" ca="1" si="5"/>
        <v>"hv01":148700,"hv02":158400,"hv03":167700,"hv04":180600,"hv05":194600,"hv06":203200,"hv07":199300,"hv08":181200,"hv09":162600,"hv10":150200,"hv11":136800,"hv12":135100,"hv13":141800,"hv14":149100,"hv15":155800,"hv16":163000,"hv17":171200}</v>
      </c>
      <c r="V15" t="s">
        <v>350</v>
      </c>
      <c r="X15" s="4" t="str">
        <f t="shared" si="4"/>
        <v xml:space="preserve">    {"type":"Feature","id":"17","properties":{"name":"Illinois","hv01":148700,"hv02":158400,"hv03":167700,"hv04":180600,"hv05":194600,"hv06":203200,"hv07":199300,"hv08":181200,"hv09":162600,"hv10":150200,"hv11":136800,"hv12":135100,"hv13":141800,"hv14":149100,"hv15":155800,"hv16":163000,"hv17":171200},"geometry":{"type":"Polygon","coordinates":[[[-90.639984,42.510065],[-88.788778,42.493634],[-87.802929,42.493634],[-87.83579,42.301941],[-87.682436,42.077386],[-87.523605,41.710431],[-87.529082,39.34987],[-87.63862,39.169131],[-87.512651,38.95553],[-87.49622,38.780268],[-87.62219,38.637868],[-87.655051,38.506421],[-87.83579,38.292821],[-87.950806,38.27639],[-87.923421,38.15042],[-88.000098,38.101128],[-88.060345,37.865619],[-88.027483,37.799896],[-88.15893,37.657496],[-88.065822,37.482234],[-88.476592,37.389126],[-88.514931,37.285064],[-88.421823,37.153617],[-88.547792,37.071463],[-88.914747,37.224817],[-89.029763,37.213863],[-89.183118,37.038601],[-89.133825,36.983832],[-89.292656,36.994786],[-89.517211,37.279587],[-89.435057,37.34531],[-89.517211,37.537003],[-89.517211,37.690357],[-89.84035,37.903958],[-89.949889,37.88205],[-90.059428,38.013497],[-90.355183,38.216144],[-90.349706,38.374975],[-90.179921,38.632391],[-90.207305,38.725499],[-90.10872,38.845992],[-90.251121,38.917192],[-90.470199,38.961007],[-90.585214,38.867899],[-90.661891,38.928146],[-90.727615,39.256762],[-91.061708,39.470363],[-91.368417,39.727779],[-91.494386,40.034488],[-91.50534,40.237135],[-91.417709,40.379535],[-91.401278,40.560274],[-91.121954,40.669813],[-91.09457,40.823167],[-90.963123,40.921752],[-90.946692,41.097014],[-91.111001,41.239415],[-91.045277,41.414677],[-90.656414,41.463969],[-90.344229,41.589939],[-90.311367,41.743293],[-90.179921,41.809016],[-90.141582,42.000709],[-90.168967,42.126679],[-90.393521,42.225264],[-90.420906,42.329326],[-90.639984,42.510065]]]}},</v>
      </c>
    </row>
    <row r="16" spans="1:24" x14ac:dyDescent="0.3">
      <c r="A16" t="s">
        <v>294</v>
      </c>
      <c r="B16" t="s">
        <v>242</v>
      </c>
      <c r="C16" t="str">
        <f t="shared" si="3"/>
        <v>"housevalue":137300}</v>
      </c>
      <c r="D16" t="str">
        <f t="shared" ca="1" si="6"/>
        <v>"hv01":103500,</v>
      </c>
      <c r="E16" t="str">
        <f t="shared" ca="1" si="6"/>
        <v>"hv02":103600,</v>
      </c>
      <c r="F16" t="str">
        <f t="shared" ca="1" si="6"/>
        <v>"hv03":103800,</v>
      </c>
      <c r="G16" t="str">
        <f t="shared" ca="1" si="6"/>
        <v>"hv04":107500,</v>
      </c>
      <c r="H16" t="str">
        <f t="shared" ca="1" si="6"/>
        <v>"hv05":114800,</v>
      </c>
      <c r="I16" t="str">
        <f t="shared" ca="1" si="6"/>
        <v>"hv06":117600,</v>
      </c>
      <c r="J16" t="str">
        <f t="shared" ca="1" si="6"/>
        <v>"hv07":117900,</v>
      </c>
      <c r="K16" t="str">
        <f t="shared" ca="1" si="6"/>
        <v>"hv08":113800,</v>
      </c>
      <c r="L16" t="str">
        <f t="shared" ca="1" si="6"/>
        <v>"hv09":108000,</v>
      </c>
      <c r="M16" t="str">
        <f t="shared" ca="1" si="6"/>
        <v>"hv10":108000,</v>
      </c>
      <c r="N16" t="str">
        <f t="shared" ca="1" si="6"/>
        <v>"hv11":104300,</v>
      </c>
      <c r="O16" t="str">
        <f t="shared" ca="1" si="6"/>
        <v>"hv12":105400,</v>
      </c>
      <c r="P16" t="str">
        <f t="shared" ca="1" si="6"/>
        <v>"hv13":104400,</v>
      </c>
      <c r="Q16" t="str">
        <f t="shared" ca="1" si="6"/>
        <v>"hv14":108100,</v>
      </c>
      <c r="R16" t="str">
        <f t="shared" ca="1" si="6"/>
        <v>"hv15":112000,</v>
      </c>
      <c r="S16" t="str">
        <f t="shared" ca="1" si="6"/>
        <v>"hv16":119900,</v>
      </c>
      <c r="T16" t="str">
        <f t="shared" ca="1" si="2"/>
        <v>"hv17":128000}</v>
      </c>
      <c r="U16" t="str">
        <f t="shared" ca="1" si="5"/>
        <v>"hv01":103500,"hv02":103600,"hv03":103800,"hv04":107500,"hv05":114800,"hv06":117600,"hv07":117900,"hv08":113800,"hv09":108000,"hv10":108000,"hv11":104300,"hv12":105400,"hv13":104400,"hv14":108100,"hv15":112000,"hv16":119900,"hv17":128000}</v>
      </c>
      <c r="V16" t="s">
        <v>351</v>
      </c>
      <c r="X16" s="4" t="str">
        <f t="shared" si="4"/>
        <v xml:space="preserve">    {"type":"Feature","id":"18","properties":{"name":"Indiana","hv01":103500,"hv02":103600,"hv03":103800,"hv04":107500,"hv05":114800,"hv06":117600,"hv07":117900,"hv08":113800,"hv09":108000,"hv10":108000,"hv11":104300,"hv12":105400,"hv13":104400,"hv14":108100,"hv15":112000,"hv16":119900,"hv17":128000},"geometry":{"type":"Polygon","coordinates":[[[-85.990061,41.759724],[-84.807042,41.759724],[-84.807042,41.694001],[-84.801565,40.500028],[-84.817996,39.103408],[-84.894673,39.059592],[-84.812519,38.785745],[-84.987781,38.780268],[-85.173997,38.68716],[-85.431413,38.730976],[-85.42046,38.533806],[-85.590245,38.451652],[-85.655968,38.325682],[-85.83123,38.27639],[-85.924338,38.024451],[-86.039354,37.958727],[-86.263908,38.051835],[-86.302247,38.166851],[-86.521325,38.040881],[-86.504894,37.931343],[-86.729448,37.893004],[-86.795172,37.991589],[-87.047111,37.893004],[-87.129265,37.788942],[-87.381204,37.93682],[-87.512651,37.903958],[-87.600282,37.975158],[-87.682436,37.903958],[-87.934375,37.893004],[-88.027483,37.799896],[-88.060345,37.865619],[-88.000098,38.101128],[-87.923421,38.15042],[-87.950806,38.27639],[-87.83579,38.292821],[-87.655051,38.506421],[-87.62219,38.637868],[-87.49622,38.780268],[-87.512651,38.95553],[-87.63862,39.169131],[-87.529082,39.34987],[-87.523605,41.710431],[-87.42502,41.644708],[-87.118311,41.644708],[-86.822556,41.759724],[-85.990061,41.759724]]]}},</v>
      </c>
    </row>
    <row r="17" spans="1:24" x14ac:dyDescent="0.3">
      <c r="A17" t="s">
        <v>295</v>
      </c>
      <c r="B17" t="s">
        <v>257</v>
      </c>
      <c r="C17" t="str">
        <f t="shared" si="3"/>
        <v>"housevalue":140500}</v>
      </c>
      <c r="D17" t="str">
        <f t="shared" ca="1" si="6"/>
        <v>"hv01":85500,</v>
      </c>
      <c r="E17" t="str">
        <f t="shared" ca="1" si="6"/>
        <v>"hv02":89800,</v>
      </c>
      <c r="F17" t="str">
        <f t="shared" ca="1" si="6"/>
        <v>"hv03":93400,</v>
      </c>
      <c r="G17" t="str">
        <f t="shared" ca="1" si="6"/>
        <v>"hv04":99300,</v>
      </c>
      <c r="H17" t="str">
        <f t="shared" ca="1" si="6"/>
        <v>"hv05":104300,</v>
      </c>
      <c r="I17" t="str">
        <f t="shared" ca="1" si="6"/>
        <v>"hv06":108300,</v>
      </c>
      <c r="J17" t="str">
        <f t="shared" ca="1" si="6"/>
        <v>"hv07":110900,</v>
      </c>
      <c r="K17" t="str">
        <f t="shared" ca="1" si="6"/>
        <v>"hv08":110600,</v>
      </c>
      <c r="L17" t="str">
        <f t="shared" ca="1" si="6"/>
        <v>"hv09":111100,</v>
      </c>
      <c r="M17" t="str">
        <f t="shared" ca="1" si="6"/>
        <v>"hv10":111200,</v>
      </c>
      <c r="N17" t="str">
        <f t="shared" ca="1" si="6"/>
        <v>"hv11":110300,</v>
      </c>
      <c r="O17" t="str">
        <f t="shared" ca="1" si="6"/>
        <v>"hv12":112700,</v>
      </c>
      <c r="P17" t="str">
        <f t="shared" ca="1" si="6"/>
        <v>"hv13":115800,</v>
      </c>
      <c r="Q17" t="str">
        <f t="shared" ca="1" si="6"/>
        <v>"hv14":119900,</v>
      </c>
      <c r="R17" t="str">
        <f t="shared" ca="1" si="6"/>
        <v>"hv15":124900,</v>
      </c>
      <c r="S17" t="str">
        <f t="shared" ca="1" si="6"/>
        <v>"hv16":130000,</v>
      </c>
      <c r="T17" t="str">
        <f t="shared" ca="1" si="2"/>
        <v>"hv17":136900}</v>
      </c>
      <c r="U17" t="str">
        <f t="shared" ca="1" si="5"/>
        <v>"hv01":85500,"hv02":89800,"hv03":93400,"hv04":99300,"hv05":104300,"hv06":108300,"hv07":110900,"hv08":110600,"hv09":111100,"hv10":111200,"hv11":110300,"hv12":112700,"hv13":115800,"hv14":119900,"hv15":124900,"hv16":130000,"hv17":136900}</v>
      </c>
      <c r="V17" t="s">
        <v>352</v>
      </c>
      <c r="X17" s="4" t="str">
        <f t="shared" si="4"/>
        <v xml:space="preserve">    {"type":"Feature","id":"19","properties":{"name":"Iowa","hv01":85500,"hv02":89800,"hv03":93400,"hv04":99300,"hv05":104300,"hv06":108300,"hv07":110900,"hv08":110600,"hv09":111100,"hv10":111200,"hv11":110300,"hv12":112700,"hv13":115800,"hv14":119900,"hv15":124900,"hv16":130000,"hv17":136900},"geometry":{"type":"Polygon","coordinates":[[[-91.368417,43.501391],[-91.215062,43.501391],[-91.204109,43.353514],[-91.056231,43.254929],[-91.176724,43.134436],[-91.143862,42.909881],[-91.067185,42.75105],[-90.711184,42.636034],[-90.639984,42.510065],[-90.420906,42.329326],[-90.393521,42.225264],[-90.168967,42.126679],[-90.141582,42.000709],[-90.179921,41.809016],[-90.311367,41.743293],[-90.344229,41.589939],[-90.656414,41.463969],[-91.045277,41.414677],[-91.111001,41.239415],[-90.946692,41.097014],[-90.963123,40.921752],[-91.09457,40.823167],[-91.121954,40.669813],[-91.401278,40.560274],[-91.417709,40.379535],[-91.527248,40.412397],[-91.729895,40.615043],[-91.833957,40.609566],[-93.257961,40.582182],[-94.632673,40.571228],[-95.7664,40.587659],[-95.881416,40.719105],[-95.826646,40.976521],[-95.925231,41.201076],[-95.919754,41.453015],[-96.095016,41.540646],[-96.122401,41.67757],[-96.062155,41.798063],[-96.127878,41.973325],[-96.264801,42.039048],[-96.44554,42.488157],[-96.631756,42.707235],[-96.544125,42.855112],[-96.511264,43.052282],[-96.434587,43.123482],[-96.560556,43.222067],[-96.527695,43.397329],[-96.582464,43.479483],[-96.451017,43.501391],[-91.368417,43.501391]]]}},</v>
      </c>
    </row>
    <row r="18" spans="1:24" x14ac:dyDescent="0.3">
      <c r="A18" t="s">
        <v>296</v>
      </c>
      <c r="B18" t="s">
        <v>260</v>
      </c>
      <c r="C18" t="str">
        <f t="shared" si="3"/>
        <v>"housevalue":136800}</v>
      </c>
      <c r="D18" t="str">
        <f t="shared" ca="1" si="6"/>
        <v>"hv01":97600,</v>
      </c>
      <c r="E18" t="str">
        <f t="shared" ca="1" si="6"/>
        <v>"hv02":99200,</v>
      </c>
      <c r="F18" t="str">
        <f t="shared" ca="1" si="6"/>
        <v>"hv03":102500,</v>
      </c>
      <c r="G18" t="str">
        <f t="shared" ca="1" si="6"/>
        <v>"hv04":111400,</v>
      </c>
      <c r="H18" t="str">
        <f t="shared" ca="1" si="6"/>
        <v>"hv05":111900,</v>
      </c>
      <c r="I18" t="str">
        <f t="shared" ca="1" si="6"/>
        <v>"hv06":115100,</v>
      </c>
      <c r="J18" t="str">
        <f t="shared" ca="1" si="6"/>
        <v>"hv07":119100,</v>
      </c>
      <c r="K18" t="str">
        <f t="shared" ca="1" si="6"/>
        <v>"hv08":116500,</v>
      </c>
      <c r="L18" t="str">
        <f t="shared" ca="1" si="6"/>
        <v>"hv09":114900,</v>
      </c>
      <c r="M18" t="str">
        <f t="shared" ca="1" si="6"/>
        <v>"hv10":113300,</v>
      </c>
      <c r="N18" t="str">
        <f t="shared" ca="1" si="6"/>
        <v>"hv11":108700,</v>
      </c>
      <c r="O18" t="str">
        <f t="shared" ca="1" si="6"/>
        <v>"hv12":108900,</v>
      </c>
      <c r="P18" t="str">
        <f t="shared" ca="1" si="6"/>
        <v>"hv13":110800,</v>
      </c>
      <c r="Q18" t="str">
        <f t="shared" ca="1" si="6"/>
        <v>"hv14":113800,</v>
      </c>
      <c r="R18" t="str">
        <f t="shared" ca="1" si="6"/>
        <v>"hv15":117000,</v>
      </c>
      <c r="S18" t="str">
        <f t="shared" ca="1" si="6"/>
        <v>"hv16":124700,</v>
      </c>
      <c r="T18" t="str">
        <f t="shared" ca="1" si="2"/>
        <v>"hv17":131400}</v>
      </c>
      <c r="U18" t="str">
        <f t="shared" ca="1" si="5"/>
        <v>"hv01":97600,"hv02":99200,"hv03":102500,"hv04":111400,"hv05":111900,"hv06":115100,"hv07":119100,"hv08":116500,"hv09":114900,"hv10":113300,"hv11":108700,"hv12":108900,"hv13":110800,"hv14":113800,"hv15":117000,"hv16":124700,"hv17":131400}</v>
      </c>
      <c r="V18" t="s">
        <v>353</v>
      </c>
      <c r="X18" s="4" t="str">
        <f t="shared" si="4"/>
        <v xml:space="preserve">    {"type":"Feature","id":"20","properties":{"name":"Kansas","hv01":97600,"hv02":99200,"hv03":102500,"hv04":111400,"hv05":111900,"hv06":115100,"hv07":119100,"hv08":116500,"hv09":114900,"hv10":113300,"hv11":108700,"hv12":108900,"hv13":110800,"hv14":113800,"hv15":117000,"hv16":124700,"hv17":131400},"geometry":{"type":"Polygon","coordinates":[[[-101.90605,40.001626],[-95.306337,40.001626],[-95.207752,39.908518],[-94.884612,39.831841],[-95.109167,39.541563],[-94.983197,39.442978],[-94.824366,39.20747],[-94.610765,39.158177],[-94.616242,37.000263],[-100.087706,37.000263],[-102.042974,36.994786],[-102.053927,40.001626],[-101.90605,40.001626]]]}},</v>
      </c>
    </row>
    <row r="19" spans="1:24" x14ac:dyDescent="0.3">
      <c r="A19" t="s">
        <v>297</v>
      </c>
      <c r="B19" t="s">
        <v>253</v>
      </c>
      <c r="C19" t="str">
        <f t="shared" si="3"/>
        <v>"housevalue":141600}</v>
      </c>
      <c r="D19" t="str">
        <f t="shared" ca="1" si="6"/>
        <v>"hv01":94300,</v>
      </c>
      <c r="E19" t="str">
        <f t="shared" ca="1" si="6"/>
        <v>"hv02":99500,</v>
      </c>
      <c r="F19" t="str">
        <f t="shared" ca="1" si="6"/>
        <v>"hv03":104300,</v>
      </c>
      <c r="G19" t="str">
        <f t="shared" ca="1" si="6"/>
        <v>"hv04":109300,</v>
      </c>
      <c r="H19" t="str">
        <f t="shared" ca="1" si="6"/>
        <v>"hv05":111100,</v>
      </c>
      <c r="I19" t="str">
        <f t="shared" ca="1" si="6"/>
        <v>"hv06":116700,</v>
      </c>
      <c r="J19" t="str">
        <f t="shared" ca="1" si="6"/>
        <v>"hv07":115600,</v>
      </c>
      <c r="K19" t="str">
        <f t="shared" ca="1" si="6"/>
        <v>"hv08":114000,</v>
      </c>
      <c r="L19" t="str">
        <f t="shared" ca="1" si="6"/>
        <v>"hv09":112900,</v>
      </c>
      <c r="M19" t="str">
        <f t="shared" ca="1" si="6"/>
        <v>"hv10":114600,</v>
      </c>
      <c r="N19" t="str">
        <f t="shared" ca="1" si="6"/>
        <v>"hv11":110700,</v>
      </c>
      <c r="O19" t="str">
        <f t="shared" ca="1" si="6"/>
        <v>"hv12":111100,</v>
      </c>
      <c r="P19" t="str">
        <f t="shared" ca="1" si="6"/>
        <v>"hv13":112500,</v>
      </c>
      <c r="Q19" t="str">
        <f t="shared" ca="1" si="6"/>
        <v>"hv14":114800,</v>
      </c>
      <c r="R19" t="str">
        <f t="shared" ca="1" si="6"/>
        <v>"hv15":119900,</v>
      </c>
      <c r="S19" t="str">
        <f t="shared" ca="1" si="6"/>
        <v>"hv16":126700,</v>
      </c>
      <c r="T19" t="str">
        <f t="shared" ca="1" si="2"/>
        <v>"hv17":135000}</v>
      </c>
      <c r="U19" t="str">
        <f t="shared" ca="1" si="5"/>
        <v>"hv01":94300,"hv02":99500,"hv03":104300,"hv04":109300,"hv05":111100,"hv06":116700,"hv07":115600,"hv08":114000,"hv09":112900,"hv10":114600,"hv11":110700,"hv12":111100,"hv13":112500,"hv14":114800,"hv15":119900,"hv16":126700,"hv17":135000}</v>
      </c>
      <c r="V19" t="s">
        <v>354</v>
      </c>
      <c r="X19" s="4" t="str">
        <f t="shared" si="4"/>
        <v xml:space="preserve">    {"type":"Feature","id":"21","properties":{"name":"Kentucky","hv01":94300,"hv02":99500,"hv03":104300,"hv04":109300,"hv05":111100,"hv06":116700,"hv07":115600,"hv08":114000,"hv09":112900,"hv10":114600,"hv11":110700,"hv12":111100,"hv13":112500,"hv14":114800,"hv15":119900,"hv16":126700,"hv17":135000},"geometry":{"type":"Polygon","coordinates":[[[-83.903347,38.769315],[-83.678792,38.632391],[-83.519961,38.703591],[-83.142052,38.626914],[-83.032514,38.725499],[-82.890113,38.758361],[-82.846298,38.588575],[-82.731282,38.561191],[-82.594358,38.424267],[-82.621743,38.123036],[-82.50125,37.931343],[-82.342419,37.783465],[-82.293127,37.668449],[-82.101434,37.553434],[-81.969987,37.537003],[-82.353373,37.268633],[-82.720328,37.120755],[-82.720328,37.044078],[-82.868205,36.978355],[-82.879159,36.890724],[-83.070852,36.852385],[-83.136575,36.742847],[-83.673316,36.600446],[-83.689746,36.584015],[-84.544149,36.594969],[-85.289013,36.627831],[-85.486183,36.616877],[-86.592525,36.655216],[-87.852221,36.633308],[-88.071299,36.677123],[-88.054868,36.496384],[-89.298133,36.507338],[-89.418626,36.496384],[-89.363857,36.622354],[-89.215979,36.578538],[-89.133825,36.983832],[-89.183118,37.038601],[-89.029763,37.213863],[-88.914747,37.224817],[-88.547792,37.071463],[-88.421823,37.153617],[-88.514931,37.285064],[-88.476592,37.389126],[-88.065822,37.482234],[-88.15893,37.657496],[-88.027483,37.799896],[-87.934375,37.893004],[-87.682436,37.903958],[-87.600282,37.975158],[-87.512651,37.903958],[-87.381204,37.93682],[-87.129265,37.788942],[-87.047111,37.893004],[-86.795172,37.991589],[-86.729448,37.893004],[-86.504894,37.931343],[-86.521325,38.040881],[-86.302247,38.166851],[-86.263908,38.051835],[-86.039354,37.958727],[-85.924338,38.024451],[-85.83123,38.27639],[-85.655968,38.325682],[-85.590245,38.451652],[-85.42046,38.533806],[-85.431413,38.730976],[-85.173997,38.68716],[-84.987781,38.780268],[-84.812519,38.785745],[-84.894673,39.059592],[-84.817996,39.103408],[-84.43461,39.103408],[-84.231963,38.895284],[-84.215533,38.807653],[-83.903347,38.769315]]]}},</v>
      </c>
    </row>
    <row r="20" spans="1:24" x14ac:dyDescent="0.3">
      <c r="A20" t="s">
        <v>298</v>
      </c>
      <c r="B20" t="s">
        <v>252</v>
      </c>
      <c r="C20" t="str">
        <f t="shared" si="3"/>
        <v>"housevalue":146100}</v>
      </c>
      <c r="D20" t="str">
        <f t="shared" ca="1" si="6"/>
        <v>"hv01":89100,</v>
      </c>
      <c r="E20" t="str">
        <f t="shared" ca="1" si="6"/>
        <v>"hv02":91800,</v>
      </c>
      <c r="F20" t="str">
        <f t="shared" ca="1" si="6"/>
        <v>"hv03":98800,</v>
      </c>
      <c r="G20" t="str">
        <f t="shared" ca="1" si="6"/>
        <v>"hv04":104200,</v>
      </c>
      <c r="H20" t="str">
        <f t="shared" ca="1" si="6"/>
        <v>"hv05":111600,</v>
      </c>
      <c r="I20" t="str">
        <f t="shared" ca="1" si="6"/>
        <v>"hv06":118900,</v>
      </c>
      <c r="J20" t="str">
        <f t="shared" ca="1" si="6"/>
        <v>"hv07":123800,</v>
      </c>
      <c r="K20" t="str">
        <f t="shared" ca="1" si="6"/>
        <v>"hv08":124700,</v>
      </c>
      <c r="L20" t="str">
        <f t="shared" ca="1" si="6"/>
        <v>"hv09":125400,</v>
      </c>
      <c r="M20" t="str">
        <f t="shared" ca="1" si="6"/>
        <v>"hv10":123900,</v>
      </c>
      <c r="N20" t="str">
        <f t="shared" ca="1" si="6"/>
        <v>"hv11":118800,</v>
      </c>
      <c r="O20" t="str">
        <f t="shared" ca="1" si="6"/>
        <v>"hv12":119000,</v>
      </c>
      <c r="P20" t="str">
        <f t="shared" ca="1" si="6"/>
        <v>"hv13":122000,</v>
      </c>
      <c r="Q20" t="str">
        <f t="shared" ca="1" si="6"/>
        <v>"hv14":125300,</v>
      </c>
      <c r="R20" t="str">
        <f t="shared" ca="1" si="6"/>
        <v>"hv15":129300,</v>
      </c>
      <c r="S20" t="str">
        <f t="shared" ca="1" si="6"/>
        <v>"hv16":137500,</v>
      </c>
      <c r="T20" t="str">
        <f t="shared" ca="1" si="2"/>
        <v>"hv17":142300}</v>
      </c>
      <c r="U20" t="str">
        <f t="shared" ca="1" si="5"/>
        <v>"hv01":89100,"hv02":91800,"hv03":98800,"hv04":104200,"hv05":111600,"hv06":118900,"hv07":123800,"hv08":124700,"hv09":125400,"hv10":123900,"hv11":118800,"hv12":119000,"hv13":122000,"hv14":125300,"hv15":129300,"hv16":137500,"hv17":142300}</v>
      </c>
      <c r="V20" t="s">
        <v>355</v>
      </c>
      <c r="X20" s="4" t="str">
        <f t="shared" si="4"/>
        <v xml:space="preserve">    {"type":"Feature","id":"22","properties":{"name":"Louisiana","hv01":89100,"hv02":91800,"hv03":98800,"hv04":104200,"hv05":111600,"hv06":118900,"hv07":123800,"hv08":124700,"hv09":125400,"hv10":123900,"hv11":118800,"hv12":119000,"hv13":122000,"hv14":125300,"hv15":129300,"hv16":137500,"hv17":142300},"geometry":{"type":"Polygon","coordinates":[[[-93.608485,33.018527],[-91.16577,33.002096],[-91.072662,32.887081],[-91.143862,32.843265],[-91.154816,32.640618],[-91.006939,32.514649],[-90.985031,32.218894],[-91.105524,31.988862],[-91.341032,31.846462],[-91.401278,31.621907],[-91.499863,31.643815],[-91.516294,31.27686],[-91.636787,31.265906],[-91.565587,31.068736],[-91.636787,30.997536],[-89.747242,30.997536],[-89.845827,30.66892],[-89.681519,30.449842],[-89.643181,30.285534],[-89.522688,30.181472],[-89.818443,30.044549],[-89.84035,29.945964],[-89.599365,29.88024],[-89.495303,30.039072],[-89.287179,29.88024],[-89.30361,29.754271],[-89.424103,29.699501],[-89.648657,29.748794],[-89.621273,29.655686],[-89.69795,29.513285],[-89.506257,29.387316],[-89.199548,29.348977],[-89.09001,29.2011],[-89.002379,29.179192],[-89.16121,29.009407],[-89.336472,29.042268],[-89.484349,29.217531],[-89.851304,29.310638],[-89.851304,29.480424],[-90.032043,29.425654],[-90.021089,29.283254],[-90.103244,29.151807],[-90.23469,29.129899],[-90.333275,29.277777],[-90.563307,29.283254],[-90.645461,29.129899],[-90.798815,29.086084],[-90.963123,29.179192],[-91.09457,29.190146],[-91.220539,29.436608],[-91.445094,29.546147],[-91.532725,29.529716],[-91.620356,29.73784],[-91.883249,29.710455],[-91.888726,29.836425],[-92.146142,29.715932],[-92.113281,29.622824],[-92.31045,29.535193],[-92.617159,29.579009],[-92.97316,29.715932],[-93.2251,29.776178],[-93.767317,29.726886],[-93.838517,29.688547],[-93.926148,29.787132],[-93.690639,30.143133],[-93.767317,30.334826],[-93.696116,30.438888],[-93.728978,30.575812],[-93.630393,30.679874],[-93.526331,30.93729],[-93.542762,31.15089],[-93.816609,31.556184],[-93.822086,31.775262],[-94.041164,31.994339],[-94.041164,33.018527],[-93.608485,33.018527]]]}},</v>
      </c>
    </row>
    <row r="21" spans="1:24" x14ac:dyDescent="0.3">
      <c r="A21" t="s">
        <v>299</v>
      </c>
      <c r="B21" t="s">
        <v>268</v>
      </c>
      <c r="C21" t="str">
        <f t="shared" si="3"/>
        <v>"housevalue":228400}</v>
      </c>
      <c r="D21" t="str">
        <f t="shared" ca="1" si="6"/>
        <v>"hv01":130900,</v>
      </c>
      <c r="E21" t="str">
        <f t="shared" ca="1" si="6"/>
        <v>"hv02":145200,</v>
      </c>
      <c r="F21" t="str">
        <f t="shared" ca="1" si="6"/>
        <v>"hv03":164500,</v>
      </c>
      <c r="G21" t="str">
        <f t="shared" ca="1" si="6"/>
        <v>"hv04":186600,</v>
      </c>
      <c r="H21" t="str">
        <f t="shared" ca="1" si="6"/>
        <v>"hv05":201800,</v>
      </c>
      <c r="I21" t="str">
        <f t="shared" ca="1" si="6"/>
        <v>"hv06":200100,</v>
      </c>
      <c r="J21" t="str">
        <f t="shared" ca="1" si="6"/>
        <v>"hv07":197800,</v>
      </c>
      <c r="K21" t="str">
        <f t="shared" ca="1" si="6"/>
        <v>"hv08":177500,</v>
      </c>
      <c r="L21" t="str">
        <f t="shared" ca="1" si="6"/>
        <v>"hv09":171800,</v>
      </c>
      <c r="M21" t="str">
        <f t="shared" ca="1" si="6"/>
        <v>"hv10":174700,</v>
      </c>
      <c r="N21" t="str">
        <f t="shared" ca="1" si="6"/>
        <v>"hv11":168300,</v>
      </c>
      <c r="O21" t="str">
        <f t="shared" ca="1" si="6"/>
        <v>"hv12":173100,</v>
      </c>
      <c r="P21" t="str">
        <f t="shared" ca="1" si="6"/>
        <v>"hv13":176800,</v>
      </c>
      <c r="Q21" t="str">
        <f t="shared" ca="1" si="6"/>
        <v>"hv14":182600,</v>
      </c>
      <c r="R21" t="str">
        <f t="shared" ca="1" si="6"/>
        <v>"hv15":187400,</v>
      </c>
      <c r="S21" t="str">
        <f t="shared" ca="1" si="6"/>
        <v>"hv16":201700,</v>
      </c>
      <c r="T21" t="str">
        <f t="shared" ca="1" si="2"/>
        <v>"hv17":216600}</v>
      </c>
      <c r="U21" t="str">
        <f t="shared" ca="1" si="5"/>
        <v>"hv01":130900,"hv02":145200,"hv03":164500,"hv04":186600,"hv05":201800,"hv06":200100,"hv07":197800,"hv08":177500,"hv09":171800,"hv10":174700,"hv11":168300,"hv12":173100,"hv13":176800,"hv14":182600,"hv15":187400,"hv16":201700,"hv17":216600}</v>
      </c>
      <c r="V21" t="s">
        <v>356</v>
      </c>
      <c r="X21" s="4" t="str">
        <f t="shared" si="4"/>
        <v xml:space="preserve">    {"type":"Feature","id":"23","properties":{"name":"Maine","hv01":130900,"hv02":145200,"hv03":164500,"hv04":186600,"hv05":201800,"hv06":200100,"hv07":197800,"hv08":177500,"hv09":171800,"hv10":174700,"hv11":168300,"hv12":173100,"hv13":176800,"hv14":182600,"hv15":187400,"hv16":201700,"hv17":216600},"geometry":{"type":"Polygon","coordinates":[[[-70.703921,43.057759],[-70.824413,43.128959],[-70.807983,43.227544],[-70.966814,43.34256],[-71.032537,44.657025],[-71.08183,45.303304],[-70.649151,45.440228],[-70.720352,45.511428],[-70.556043,45.664782],[-70.386258,45.735983],[-70.41912,45.796229],[-70.260289,45.889337],[-70.309581,46.064599],[-70.210996,46.327492],[-70.057642,46.415123],[-69.997395,46.694447],[-69.225147,47.461219],[-69.044408,47.428357],[-69.033454,47.242141],[-68.902007,47.176418],[-68.578868,47.285957],[-68.376221,47.285957],[-68.233821,47.357157],[-67.954497,47.198326],[-67.790188,47.066879],[-67.779235,45.944106],[-67.801142,45.675736],[-67.456095,45.604536],[-67.505388,45.48952],[-67.417757,45.379982],[-67.488957,45.281397],[-67.346556,45.128042],[-67.16034,45.160904],[-66.979601,44.804903],[-67.187725,44.646072],[-67.308218,44.706318],[-67.406803,44.596779],[-67.549203,44.624164],[-67.565634,44.531056],[-67.75185,44.54201],[-68.047605,44.328409],[-68.118805,44.476286],[-68.222867,44.48724],[-68.173574,44.328409],[-68.403606,44.251732],[-68.458375,44.377701],[-68.567914,44.311978],[-68.82533,44.311978],[-68.830807,44.459856],[-68.984161,44.426994],[-68.956777,44.322932],[-69.099177,44.103854],[-69.071793,44.043608],[-69.258008,43.923115],[-69.444224,43.966931],[-69.553763,43.840961],[-69.707118,43.82453],[-69.833087,43.720469],[-69.986442,43.742376],[-70.030257,43.851915],[-70.254812,43.676653],[-70.194565,43.567114],[-70.358873,43.528776],[-70.369827,43.435668],[-70.556043,43.320652],[-70.703921,43.057759]]]}},</v>
      </c>
    </row>
    <row r="22" spans="1:24" x14ac:dyDescent="0.3">
      <c r="A22" t="s">
        <v>300</v>
      </c>
      <c r="B22" t="s">
        <v>246</v>
      </c>
      <c r="C22" t="str">
        <f t="shared" si="3"/>
        <v>"housevalue":285400}</v>
      </c>
      <c r="D22" t="str">
        <f t="shared" ref="D22:S31" ca="1" si="7">CHAR(34)&amp;D$56&amp;CHAR(34)&amp;":"&amp;INDIRECT("HV_RAW_VALUE!"&amp;D$1&amp;ROW($A22))&amp;","</f>
        <v>"hv01":159100,</v>
      </c>
      <c r="E22" t="str">
        <f t="shared" ca="1" si="7"/>
        <v>"hv02":181200,</v>
      </c>
      <c r="F22" t="str">
        <f t="shared" ca="1" si="7"/>
        <v>"hv03":211800,</v>
      </c>
      <c r="G22" t="str">
        <f t="shared" ca="1" si="7"/>
        <v>"hv04":263900,</v>
      </c>
      <c r="H22" t="str">
        <f t="shared" ca="1" si="7"/>
        <v>"hv05":317000,</v>
      </c>
      <c r="I22" t="str">
        <f t="shared" ca="1" si="7"/>
        <v>"hv06":334800,</v>
      </c>
      <c r="J22" t="str">
        <f t="shared" ca="1" si="7"/>
        <v>"hv07":317100,</v>
      </c>
      <c r="K22" t="str">
        <f t="shared" ca="1" si="7"/>
        <v>"hv08":278800,</v>
      </c>
      <c r="L22" t="str">
        <f t="shared" ca="1" si="7"/>
        <v>"hv09":251600,</v>
      </c>
      <c r="M22" t="str">
        <f t="shared" ca="1" si="7"/>
        <v>"hv10":237600,</v>
      </c>
      <c r="N22" t="str">
        <f t="shared" ca="1" si="7"/>
        <v>"hv11":222200,</v>
      </c>
      <c r="O22" t="str">
        <f t="shared" ca="1" si="7"/>
        <v>"hv12":229000,</v>
      </c>
      <c r="P22" t="str">
        <f t="shared" ca="1" si="7"/>
        <v>"hv13":241700,</v>
      </c>
      <c r="Q22" t="str">
        <f t="shared" ca="1" si="7"/>
        <v>"hv14":247700,</v>
      </c>
      <c r="R22" t="str">
        <f t="shared" ca="1" si="7"/>
        <v>"hv15":252900,</v>
      </c>
      <c r="S22" t="str">
        <f t="shared" ca="1" si="7"/>
        <v>"hv16":265000,</v>
      </c>
      <c r="T22" t="str">
        <f t="shared" ca="1" si="2"/>
        <v>"hv17":275800}</v>
      </c>
      <c r="U22" t="str">
        <f t="shared" ca="1" si="5"/>
        <v>"hv01":159100,"hv02":181200,"hv03":211800,"hv04":263900,"hv05":317000,"hv06":334800,"hv07":317100,"hv08":278800,"hv09":251600,"hv10":237600,"hv11":222200,"hv12":229000,"hv13":241700,"hv14":247700,"hv15":252900,"hv16":265000,"hv17":275800}</v>
      </c>
      <c r="V22" t="s">
        <v>357</v>
      </c>
      <c r="X22" s="4" t="str">
        <f t="shared" si="4"/>
        <v xml:space="preserve">    {"type":"Feature","id":"24","properties":{"name":"Maryland","hv01":159100,"hv02":181200,"hv03":211800,"hv04":263900,"hv05":317000,"hv06":334800,"hv07":317100,"hv08":278800,"hv09":251600,"hv10":237600,"hv11":222200,"hv12":229000,"hv13":241700,"hv14":247700,"hv15":252900,"hv16":265000,"hv17":275800},"geometry":{"type":"MultiPolygon","coordinates":[[[[-75.994645,37.95325],[-76.016553,37.95325],[-76.043938,37.95325],[-75.994645,37.95325]]],[[[-79.477979,39.722302],[-75.786521,39.722302],[-75.693413,38.462606],[-75.047134,38.451652],[-75.244304,38.029928],[-75.397659,38.013497],[-75.671506,37.95325],[-75.885106,37.909435],[-75.879629,38.073743],[-75.961783,38.139466],[-75.846768,38.210667],[-76.000122,38.374975],[-76.049415,38.303775],[-76.257538,38.320205],[-76.328738,38.500944],[-76.263015,38.500944],[-76.257538,38.736453],[-76.191815,38.829561],[-76.279446,39.147223],[-76.169907,39.333439],[-76.000122,39.366301],[-75.972737,39.557994],[-76.098707,39.536086],[-76.104184,39.437501],[-76.367077,39.311532],[-76.443754,39.196516],[-76.460185,38.906238],[-76.55877,38.769315],[-76.514954,38.539283],[-76.383508,38.380452],[-76.399939,38.259959],[-76.317785,38.139466],[-76.3616,38.057312],[-76.591632,38.216144],[-76.920248,38.292821],[-77.018833,38.446175],[-77.205049,38.358544],[-77.276249,38.479037],[-77.128372,38.632391],[-77.040741,38.791222],[-76.909294,38.895284],[-77.035264,38.993869],[-77.117418,38.933623],[-77.248864,39.026731],[-77.456988,39.076023],[-77.456988,39.223901],[-77.566527,39.306055],[-77.719881,39.322485],[-77.834897,39.601809],[-78.004682,39.601809],[-78.174467,39.694917],[-78.267575,39.61824],[-78.431884,39.623717],[-78.470222,39.514178],[-78.765977,39.585379],[-78.963147,39.437501],[-79.094593,39.470363],[-79.291763,39.300578],[-79.488933,39.20747],[-79.477979,39.722302]]]]}},</v>
      </c>
    </row>
    <row r="23" spans="1:24" x14ac:dyDescent="0.3">
      <c r="A23" t="s">
        <v>301</v>
      </c>
      <c r="B23" t="s">
        <v>241</v>
      </c>
      <c r="C23" t="str">
        <f t="shared" si="3"/>
        <v>"housevalue":401500}</v>
      </c>
      <c r="D23" t="str">
        <f t="shared" ca="1" si="7"/>
        <v>"hv01":252800,</v>
      </c>
      <c r="E23" t="str">
        <f t="shared" ca="1" si="7"/>
        <v>"hv02":287300,</v>
      </c>
      <c r="F23" t="str">
        <f t="shared" ca="1" si="7"/>
        <v>"hv03":316300,</v>
      </c>
      <c r="G23" t="str">
        <f t="shared" ca="1" si="7"/>
        <v>"hv04":347600,</v>
      </c>
      <c r="H23" t="str">
        <f t="shared" ca="1" si="7"/>
        <v>"hv05":359600,</v>
      </c>
      <c r="I23" t="str">
        <f t="shared" ca="1" si="7"/>
        <v>"hv06":340400,</v>
      </c>
      <c r="J23" t="str">
        <f t="shared" ca="1" si="7"/>
        <v>"hv07":323900,</v>
      </c>
      <c r="K23" t="str">
        <f t="shared" ca="1" si="7"/>
        <v>"hv08":300700,</v>
      </c>
      <c r="L23" t="str">
        <f t="shared" ca="1" si="7"/>
        <v>"hv09":292500,</v>
      </c>
      <c r="M23" t="str">
        <f t="shared" ca="1" si="7"/>
        <v>"hv10":288200,</v>
      </c>
      <c r="N23" t="str">
        <f t="shared" ca="1" si="7"/>
        <v>"hv11":276600,</v>
      </c>
      <c r="O23" t="str">
        <f t="shared" ca="1" si="7"/>
        <v>"hv12":284300,</v>
      </c>
      <c r="P23" t="str">
        <f t="shared" ca="1" si="7"/>
        <v>"hv13":305300,</v>
      </c>
      <c r="Q23" t="str">
        <f t="shared" ca="1" si="7"/>
        <v>"hv14":319700,</v>
      </c>
      <c r="R23" t="str">
        <f t="shared" ca="1" si="7"/>
        <v>"hv15":333700,</v>
      </c>
      <c r="S23" t="str">
        <f t="shared" ca="1" si="7"/>
        <v>"hv16":358100,</v>
      </c>
      <c r="T23" t="str">
        <f t="shared" ca="1" si="2"/>
        <v>"hv17":384000}</v>
      </c>
      <c r="U23" t="str">
        <f t="shared" ca="1" si="5"/>
        <v>"hv01":252800,"hv02":287300,"hv03":316300,"hv04":347600,"hv05":359600,"hv06":340400,"hv07":323900,"hv08":300700,"hv09":292500,"hv10":288200,"hv11":276600,"hv12":284300,"hv13":305300,"hv14":319700,"hv15":333700,"hv16":358100,"hv17":384000}</v>
      </c>
      <c r="V23" t="s">
        <v>358</v>
      </c>
      <c r="X23" s="4" t="str">
        <f t="shared" si="4"/>
        <v xml:space="preserve">    {"type":"Feature","id":"25","properties":{"name":"Massachusetts","hv01":252800,"hv02":287300,"hv03":316300,"hv04":347600,"hv05":359600,"hv06":340400,"hv07":323900,"hv08":300700,"hv09":292500,"hv10":288200,"hv11":276600,"hv12":284300,"hv13":305300,"hv14":319700,"hv15":333700,"hv16":358100,"hv17":384000},"geometry":{"type":"Polygon","coordinates":[[[-70.917521,42.887974],[-70.818936,42.871543],[-70.780598,42.696281],[-70.824413,42.55388],[-70.983245,42.422434],[-70.988722,42.269079],[-70.769644,42.247172],[-70.638197,42.08834],[-70.660105,41.962371],[-70.550566,41.929509],[-70.539613,41.814493],[-70.260289,41.715908],[-69.937149,41.809016],[-70.008349,41.672093],[-70.484843,41.5516],[-70.660105,41.546123],[-70.764167,41.639231],[-70.928475,41.611847],[-70.933952,41.540646],[-71.120168,41.496831],[-71.196845,41.67757],[-71.22423,41.710431],[-71.328292,41.781632],[-71.383061,42.01714],[-71.530939,42.01714],[-71.799309,42.006186],[-71.799309,42.022617],[-73.053528,42.039048],[-73.486206,42.050002],[-73.508114,42.08834],[-73.267129,42.745573],[-72.456542,42.729142],[-71.29543,42.696281],[-71.185891,42.789389],[-70.917521,42.887974]]]}},</v>
      </c>
    </row>
    <row r="24" spans="1:24" x14ac:dyDescent="0.3">
      <c r="A24" t="s">
        <v>302</v>
      </c>
      <c r="B24" t="s">
        <v>235</v>
      </c>
      <c r="C24" t="str">
        <f t="shared" si="3"/>
        <v>"housevalue":146600}</v>
      </c>
      <c r="D24" t="str">
        <f t="shared" ca="1" si="7"/>
        <v>"hv01":117100,</v>
      </c>
      <c r="E24" t="str">
        <f t="shared" ca="1" si="7"/>
        <v>"hv02":123100,</v>
      </c>
      <c r="F24" t="str">
        <f t="shared" ca="1" si="7"/>
        <v>"hv03":127300,</v>
      </c>
      <c r="G24" t="str">
        <f t="shared" ca="1" si="7"/>
        <v>"hv04":133400,</v>
      </c>
      <c r="H24" t="str">
        <f t="shared" ca="1" si="7"/>
        <v>"hv05":137300,</v>
      </c>
      <c r="I24" t="str">
        <f t="shared" ca="1" si="7"/>
        <v>"hv06":134400,</v>
      </c>
      <c r="J24" t="str">
        <f t="shared" ca="1" si="7"/>
        <v>"hv07":124200,</v>
      </c>
      <c r="K24" t="str">
        <f t="shared" ca="1" si="7"/>
        <v>"hv08":107000,</v>
      </c>
      <c r="L24" t="str">
        <f t="shared" ca="1" si="7"/>
        <v>"hv09":92000,</v>
      </c>
      <c r="M24" t="str">
        <f t="shared" ca="1" si="7"/>
        <v>"hv10":86600,</v>
      </c>
      <c r="N24" t="str">
        <f t="shared" ca="1" si="7"/>
        <v>"hv11":81800,</v>
      </c>
      <c r="O24" t="str">
        <f t="shared" ca="1" si="7"/>
        <v>"hv12":87000,</v>
      </c>
      <c r="P24" t="str">
        <f t="shared" ca="1" si="7"/>
        <v>"hv13":97500,</v>
      </c>
      <c r="Q24" t="str">
        <f t="shared" ca="1" si="7"/>
        <v>"hv14":107400,</v>
      </c>
      <c r="R24" t="str">
        <f t="shared" ca="1" si="7"/>
        <v>"hv15":116600,</v>
      </c>
      <c r="S24" t="str">
        <f t="shared" ca="1" si="7"/>
        <v>"hv16":127000,</v>
      </c>
      <c r="T24" t="str">
        <f t="shared" ca="1" si="2"/>
        <v>"hv17":137500}</v>
      </c>
      <c r="U24" t="str">
        <f t="shared" ca="1" si="5"/>
        <v>"hv01":117100,"hv02":123100,"hv03":127300,"hv04":133400,"hv05":137300,"hv06":134400,"hv07":124200,"hv08":107000,"hv09":92000,"hv10":86600,"hv11":81800,"hv12":87000,"hv13":97500,"hv14":107400,"hv15":116600,"hv16":127000,"hv17":137500}</v>
      </c>
      <c r="V24" t="s">
        <v>359</v>
      </c>
      <c r="X24" s="4" t="str">
        <f t="shared" si="4"/>
        <v xml:space="preserve">    {"type":"Feature","id":"26","properties":{"name":"Michigan","hv01":117100,"hv02":123100,"hv03":127300,"hv04":133400,"hv05":137300,"hv06":134400,"hv07":124200,"hv08":107000,"hv09":92000,"hv10":86600,"hv11":81800,"hv12":87000,"hv13":97500,"hv14":107400,"hv15":116600,"hv16":127000,"hv17":137500},"geometry":{"type":"MultiPolygon","coordinates":[[[[-83.454238,41.732339],[-84.807042,41.694001],[-84.807042,41.759724],[-85.990061,41.759724],[-86.822556,41.759724],[-86.619909,41.891171],[-86.482986,42.115725],[-86.357016,42.252649],[-86.263908,42.444341],[-86.209139,42.718189],[-86.231047,43.013943],[-86.526801,43.594499],[-86.433693,43.813577],[-86.499417,44.07647],[-86.269385,44.34484],[-86.220093,44.569394],[-86.252954,44.689887],[-86.088646,44.73918],[-86.066738,44.903488],[-85.809322,44.947303],[-85.612152,45.128042],[-85.628583,44.766564],[-85.524521,44.750133],[-85.393075,44.930872],[-85.387598,45.237581],[-85.305444,45.314258],[-85.031597,45.363551],[-85.119228,45.577151],[-84.938489,45.75789],[-84.713934,45.768844],[-84.461995,45.653829],[-84.215533,45.637398],[-84.09504,45.494997],[-83.908824,45.484043],[-83.596638,45.352597],[-83.4871,45.358074],[-83.317314,45.144473],[-83.454238,45.029457],[-83.322791,44.88158],[-83.273499,44.711795],[-83.333745,44.339363],[-83.536392,44.246255],[-83.585684,44.054562],[-83.82667,43.988839],[-83.958116,43.758807],[-83.908824,43.671176],[-83.667839,43.589022],[-83.481623,43.714992],[-83.262545,43.972408],[-82.917498,44.070993],[-82.747713,43.994316],[-82.643651,43.851915],[-82.539589,43.435668],[-82.523158,43.227544],[-82.413619,42.975605],[-82.517681,42.614127],[-82.681989,42.559357],[-82.687466,42.690804],[-82.797005,42.652465],[-82.922975,42.351234],[-83.125621,42.236218],[-83.185868,42.006186],[-83.437807,41.814493],[-83.454238,41.732339]]],[[[-85.508091,45.730506],[-85.49166,45.610013],[-85.623106,45.588105],[-85.568337,45.75789],[-85.508091,45.730506]]],[[[-87.589328,45.095181],[-87.742682,45.199243],[-87.649574,45.341643],[-87.885083,45.363551],[-87.791975,45.500474],[-87.781021,45.675736],[-87.989145,45.796229],[-88.10416,45.922199],[-88.531362,46.020784],[-88.662808,45.987922],[-89.09001,46.135799],[-90.119674,46.338446],[-90.229213,46.508231],[-90.415429,46.568478],[-90.026566,46.672539],[-89.851304,46.793032],[-89.413149,46.842325],[-89.128348,46.990202],[-88.996902,46.995679],[-88.887363,47.099741],[-88.575177,47.247618],[-88.416346,47.373588],[-88.180837,47.455742],[-87.956283,47.384542],[-88.350623,47.077833],[-88.443731,46.973771],[-88.438254,46.787555],[-88.246561,46.929956],[-87.901513,46.908048],[-87.633143,46.809463],[-87.392158,46.535616],[-87.260711,46.486323],[-87.008772,46.530139],[-86.948526,46.469893],[-86.696587,46.437031],[-86.159846,46.667063],[-85.880522,46.68897],[-85.508091,46.678016],[-85.256151,46.754694],[-85.064458,46.760171],[-85.02612,46.480847],[-84.82895,46.442508],[-84.63178,46.486323],[-84.549626,46.4206],[-84.418179,46.502754],[-84.127902,46.530139],[-84.122425,46.179615],[-83.990978,46.031737],[-83.793808,45.993399],[-83.7719,46.091984],[-83.580208,46.091984],[-83.476146,45.987922],[-83.563777,45.911245],[-84.111471,45.976968],[-84.374364,45.933153],[-84.659165,46.053645],[-84.741319,45.944106],[-84.70298,45.850998],[-84.82895,45.872906],[-85.015166,46.00983],[-85.338305,46.091984],[-85.502614,46.097461],[-85.661445,45.966014],[-85.924338,45.933153],[-86.209139,45.960537],[-86.324155,45.905768],[-86.351539,45.796229],[-86.663725,45.703121],[-86.647294,45.834568],[-86.784218,45.861952],[-86.838987,45.725029],[-87.069019,45.719552],[-87.17308,45.659305],[-87.326435,45.423797],[-87.611236,45.122565],[-87.589328,45.095181]]],[[[-88.805209,47.976051],[-89.057148,47.850082],[-89.188594,47.833651],[-89.177641,47.937713],[-88.547792,48.173221],[-88.668285,48.008913],[-88.805209,47.976051]]]]}},</v>
      </c>
    </row>
    <row r="25" spans="1:24" x14ac:dyDescent="0.3">
      <c r="A25" t="s">
        <v>303</v>
      </c>
      <c r="B25" t="s">
        <v>248</v>
      </c>
      <c r="C25" t="str">
        <f t="shared" si="3"/>
        <v>"housevalue":229200}</v>
      </c>
      <c r="D25" t="str">
        <f t="shared" ca="1" si="7"/>
        <v>"hv01":155400,</v>
      </c>
      <c r="E25" t="str">
        <f t="shared" ca="1" si="7"/>
        <v>"hv02":170400,</v>
      </c>
      <c r="F25" t="str">
        <f t="shared" ca="1" si="7"/>
        <v>"hv03":184300,</v>
      </c>
      <c r="G25" t="str">
        <f t="shared" ca="1" si="7"/>
        <v>"hv04":198300,</v>
      </c>
      <c r="H25" t="str">
        <f t="shared" ca="1" si="7"/>
        <v>"hv05":209200,</v>
      </c>
      <c r="I25" t="str">
        <f t="shared" ca="1" si="7"/>
        <v>"hv06":206400,</v>
      </c>
      <c r="J25" t="str">
        <f t="shared" ca="1" si="7"/>
        <v>"hv07":197600,</v>
      </c>
      <c r="K25" t="str">
        <f t="shared" ca="1" si="7"/>
        <v>"hv08":177800,</v>
      </c>
      <c r="L25" t="str">
        <f t="shared" ca="1" si="7"/>
        <v>"hv09":166700,</v>
      </c>
      <c r="M25" t="str">
        <f t="shared" ca="1" si="7"/>
        <v>"hv10":157600,</v>
      </c>
      <c r="N25" t="str">
        <f t="shared" ca="1" si="7"/>
        <v>"hv11":147300,</v>
      </c>
      <c r="O25" t="str">
        <f t="shared" ca="1" si="7"/>
        <v>"hv12":155300,</v>
      </c>
      <c r="P25" t="str">
        <f t="shared" ca="1" si="7"/>
        <v>"hv13":169000,</v>
      </c>
      <c r="Q25" t="str">
        <f t="shared" ca="1" si="7"/>
        <v>"hv14":176600,</v>
      </c>
      <c r="R25" t="str">
        <f t="shared" ca="1" si="7"/>
        <v>"hv15":187600,</v>
      </c>
      <c r="S25" t="str">
        <f t="shared" ca="1" si="7"/>
        <v>"hv16":202400,</v>
      </c>
      <c r="T25" t="str">
        <f t="shared" ca="1" si="2"/>
        <v>"hv17":218700}</v>
      </c>
      <c r="U25" t="str">
        <f t="shared" ca="1" si="5"/>
        <v>"hv01":155400,"hv02":170400,"hv03":184300,"hv04":198300,"hv05":209200,"hv06":206400,"hv07":197600,"hv08":177800,"hv09":166700,"hv10":157600,"hv11":147300,"hv12":155300,"hv13":169000,"hv14":176600,"hv15":187600,"hv16":202400,"hv17":218700}</v>
      </c>
      <c r="V25" t="s">
        <v>360</v>
      </c>
      <c r="X25" s="4" t="str">
        <f t="shared" si="4"/>
        <v xml:space="preserve">    {"type":"Feature","id":"27","properties":{"name":"Minnesota","hv01":155400,"hv02":170400,"hv03":184300,"hv04":198300,"hv05":209200,"hv06":206400,"hv07":197600,"hv08":177800,"hv09":166700,"hv10":157600,"hv11":147300,"hv12":155300,"hv13":169000,"hv14":176600,"hv15":187600,"hv16":202400,"hv17":218700},"geometry":{"type":"Polygon","coordinates":[[[-92.014696,46.705401],[-92.091373,46.749217],[-92.29402,46.667063],[-92.29402,46.075553],[-92.354266,46.015307],[-92.639067,45.933153],[-92.869098,45.719552],[-92.885529,45.577151],[-92.770513,45.566198],[-92.644544,45.440228],[-92.75956,45.286874],[-92.737652,45.117088],[-92.808852,44.750133],[-92.545959,44.569394],[-92.337835,44.552964],[-92.233773,44.443425],[-91.927065,44.333886],[-91.877772,44.202439],[-91.592971,44.032654],[-91.43414,43.994316],[-91.242447,43.775238],[-91.269832,43.616407],[-91.215062,43.501391],[-91.368417,43.501391],[-96.451017,43.501391],[-96.451017,45.297827],[-96.681049,45.412843],[-96.856311,45.604536],[-96.582464,45.818137],[-96.560556,45.933153],[-96.598895,46.332969],[-96.719387,46.437031],[-96.801542,46.656109],[-96.785111,46.924479],[-96.823449,46.968294],[-96.856311,47.609096],[-97.053481,47.948667],[-97.130158,48.140359],[-97.16302,48.545653],[-97.097296,48.682577],[-97.228743,49.000239],[-95.152983,49.000239],[-95.152983,49.383625],[-94.955813,49.372671],[-94.824366,49.295994],[-94.69292,48.775685],[-94.588858,48.715438],[-94.260241,48.699007],[-94.221903,48.649715],[-93.838517,48.627807],[-93.794701,48.518268],[-93.466085,48.545653],[-93.466085,48.589469],[-93.208669,48.644238],[-92.984114,48.62233],[-92.726698,48.540176],[-92.655498,48.436114],[-92.50762,48.447068],[-92.370697,48.222514],[-92.304974,48.315622],[-92.053034,48.359437],[-92.009219,48.266329],[-91.713464,48.200606],[-91.713464,48.112975],[-91.565587,48.041775],[-91.264355,48.080113],[-91.083616,48.178698],[-90.837154,48.238944],[-90.749522,48.091067],[-90.579737,48.123929],[-90.377091,48.091067],[-90.141582,48.112975],[-89.873212,47.987005],[-89.615796,48.008913],[-89.637704,47.954144],[-89.971797,47.828174],[-90.437337,47.729589],[-90.738569,47.625527],[-91.171247,47.368111],[-91.357463,47.20928],[-91.642264,47.028541],[-92.091373,46.787555],[-92.014696,46.705401]]]}},</v>
      </c>
    </row>
    <row r="26" spans="1:24" x14ac:dyDescent="0.3">
      <c r="A26" t="s">
        <v>304</v>
      </c>
      <c r="B26" t="s">
        <v>258</v>
      </c>
      <c r="C26" t="str">
        <f t="shared" si="3"/>
        <v>"housevalue":123200}</v>
      </c>
      <c r="D26" t="str">
        <f t="shared" ca="1" si="7"/>
        <v>"hv01":68500,</v>
      </c>
      <c r="E26" t="str">
        <f t="shared" ca="1" si="7"/>
        <v>"hv02":69700,</v>
      </c>
      <c r="F26" t="str">
        <f t="shared" ca="1" si="7"/>
        <v>"hv03":69800,</v>
      </c>
      <c r="G26" t="str">
        <f t="shared" ca="1" si="7"/>
        <v>"hv04":82500,</v>
      </c>
      <c r="H26" t="str">
        <f t="shared" ca="1" si="7"/>
        <v>"hv05":100500,</v>
      </c>
      <c r="I26" t="str">
        <f t="shared" ca="1" si="7"/>
        <v>"hv06":114300,</v>
      </c>
      <c r="J26" t="str">
        <f t="shared" ca="1" si="7"/>
        <v>"hv07":115600,</v>
      </c>
      <c r="K26" t="str">
        <f t="shared" ca="1" si="7"/>
        <v>"hv08":111100,</v>
      </c>
      <c r="L26" t="str">
        <f t="shared" ca="1" si="7"/>
        <v>"hv09":110500,</v>
      </c>
      <c r="M26" t="str">
        <f t="shared" ca="1" si="7"/>
        <v>"hv10":114700,</v>
      </c>
      <c r="N26" t="str">
        <f t="shared" ca="1" si="7"/>
        <v>"hv11":105200,</v>
      </c>
      <c r="O26" t="str">
        <f t="shared" ca="1" si="7"/>
        <v>"hv12":102900,</v>
      </c>
      <c r="P26" t="str">
        <f t="shared" ca="1" si="7"/>
        <v>"hv13":99100,</v>
      </c>
      <c r="Q26" t="str">
        <f t="shared" ca="1" si="7"/>
        <v>"hv14":99700,</v>
      </c>
      <c r="R26" t="str">
        <f t="shared" ca="1" si="7"/>
        <v>"hv15":106600,</v>
      </c>
      <c r="S26" t="str">
        <f t="shared" ca="1" si="7"/>
        <v>"hv16":114700,</v>
      </c>
      <c r="T26" t="str">
        <f t="shared" ca="1" si="2"/>
        <v>"hv17":117000}</v>
      </c>
      <c r="U26" t="str">
        <f t="shared" ca="1" si="5"/>
        <v>"hv01":68500,"hv02":69700,"hv03":69800,"hv04":82500,"hv05":100500,"hv06":114300,"hv07":115600,"hv08":111100,"hv09":110500,"hv10":114700,"hv11":105200,"hv12":102900,"hv13":99100,"hv14":99700,"hv15":106600,"hv16":114700,"hv17":117000}</v>
      </c>
      <c r="V26" t="s">
        <v>361</v>
      </c>
      <c r="X26" s="4" t="str">
        <f t="shared" si="4"/>
        <v xml:space="preserve">    {"type":"Feature","id":"28","properties":{"name":"Mississippi","hv01":68500,"hv02":69700,"hv03":69800,"hv04":82500,"hv05":100500,"hv06":114300,"hv07":115600,"hv08":111100,"hv09":110500,"hv10":114700,"hv11":105200,"hv12":102900,"hv13":99100,"hv14":99700,"hv15":106600,"hv16":114700,"hv17":117000},"geometry":{"type":"Polygon","coordinates":[[[-88.471115,34.995703],[-88.202745,34.995703],[-88.098683,34.891641],[-88.241084,33.796253],[-88.471115,31.895754],[-88.394438,30.367688],[-88.503977,30.323872],[-88.744962,30.34578],[-88.843547,30.411504],[-89.084533,30.367688],[-89.418626,30.252672],[-89.522688,30.181472],[-89.643181,30.285534],[-89.681519,30.449842],[-89.845827,30.66892],[-89.747242,30.997536],[-91.636787,30.997536],[-91.565587,31.068736],[-91.636787,31.265906],[-91.516294,31.27686],[-91.499863,31.643815],[-91.401278,31.621907],[-91.341032,31.846462],[-91.105524,31.988862],[-90.985031,32.218894],[-91.006939,32.514649],[-91.154816,32.640618],[-91.143862,32.843265],[-91.072662,32.887081],[-91.16577,33.002096],[-91.089093,33.13902],[-91.143862,33.347144],[-91.056231,33.429298],[-91.231493,33.560744],[-91.072662,33.867453],[-90.891923,34.026284],[-90.952169,34.135823],[-90.744046,34.300131],[-90.749522,34.365854],[-90.568783,34.420624],[-90.585214,34.617794],[-90.481152,34.661609],[-90.409952,34.831394],[-90.251121,34.908072],[-90.311367,34.995703],[-88.471115,34.995703]]]}},</v>
      </c>
    </row>
    <row r="27" spans="1:24" x14ac:dyDescent="0.3">
      <c r="A27" t="s">
        <v>305</v>
      </c>
      <c r="B27" t="s">
        <v>245</v>
      </c>
      <c r="C27" t="str">
        <f t="shared" si="3"/>
        <v>"housevalue":155700}</v>
      </c>
      <c r="D27" t="str">
        <f t="shared" ca="1" si="7"/>
        <v>"hv01":112400,</v>
      </c>
      <c r="E27" t="str">
        <f t="shared" ca="1" si="7"/>
        <v>"hv02":119600,</v>
      </c>
      <c r="F27" t="str">
        <f t="shared" ca="1" si="7"/>
        <v>"hv03":125000,</v>
      </c>
      <c r="G27" t="str">
        <f t="shared" ca="1" si="7"/>
        <v>"hv04":128400,</v>
      </c>
      <c r="H27" t="str">
        <f t="shared" ca="1" si="7"/>
        <v>"hv05":135700,</v>
      </c>
      <c r="I27" t="str">
        <f t="shared" ca="1" si="7"/>
        <v>"hv06":139600,</v>
      </c>
      <c r="J27" t="str">
        <f t="shared" ca="1" si="7"/>
        <v>"hv07":138800,</v>
      </c>
      <c r="K27" t="str">
        <f t="shared" ca="1" si="7"/>
        <v>"hv08":134700,</v>
      </c>
      <c r="L27" t="str">
        <f t="shared" ca="1" si="7"/>
        <v>"hv09":130100,</v>
      </c>
      <c r="M27" t="str">
        <f t="shared" ca="1" si="7"/>
        <v>"hv10":127000,</v>
      </c>
      <c r="N27" t="str">
        <f t="shared" ca="1" si="7"/>
        <v>"hv11":121800,</v>
      </c>
      <c r="O27" t="str">
        <f t="shared" ca="1" si="7"/>
        <v>"hv12":122000,</v>
      </c>
      <c r="P27" t="str">
        <f t="shared" ca="1" si="7"/>
        <v>"hv13":124500,</v>
      </c>
      <c r="Q27" t="str">
        <f t="shared" ca="1" si="7"/>
        <v>"hv14":126600,</v>
      </c>
      <c r="R27" t="str">
        <f t="shared" ca="1" si="7"/>
        <v>"hv15":132700,</v>
      </c>
      <c r="S27" t="str">
        <f t="shared" ca="1" si="7"/>
        <v>"hv16":138900,</v>
      </c>
      <c r="T27" t="str">
        <f t="shared" ca="1" si="2"/>
        <v>"hv17":147100}</v>
      </c>
      <c r="U27" t="str">
        <f t="shared" ca="1" si="5"/>
        <v>"hv01":112400,"hv02":119600,"hv03":125000,"hv04":128400,"hv05":135700,"hv06":139600,"hv07":138800,"hv08":134700,"hv09":130100,"hv10":127000,"hv11":121800,"hv12":122000,"hv13":124500,"hv14":126600,"hv15":132700,"hv16":138900,"hv17":147100}</v>
      </c>
      <c r="V27" t="s">
        <v>362</v>
      </c>
      <c r="X27" s="4" t="str">
        <f t="shared" si="4"/>
        <v xml:space="preserve">    {"type":"Feature","id":"29","properties":{"name":"Missouri","hv01":112400,"hv02":119600,"hv03":125000,"hv04":128400,"hv05":135700,"hv06":139600,"hv07":138800,"hv08":134700,"hv09":130100,"hv10":127000,"hv11":121800,"hv12":122000,"hv13":124500,"hv14":126600,"hv15":132700,"hv16":138900,"hv17":147100},"geometry":{"type":"Polygon","coordinates":[[[-91.833957,40.609566],[-91.729895,40.615043],[-91.527248,40.412397],[-91.417709,40.379535],[-91.50534,40.237135],[-91.494386,40.034488],[-91.368417,39.727779],[-91.061708,39.470363],[-90.727615,39.256762],[-90.661891,38.928146],[-90.585214,38.867899],[-90.470199,38.961007],[-90.251121,38.917192],[-90.10872,38.845992],[-90.207305,38.725499],[-90.179921,38.632391],[-90.349706,38.374975],[-90.355183,38.216144],[-90.059428,38.013497],[-89.949889,37.88205],[-89.84035,37.903958],[-89.517211,37.690357],[-89.517211,37.537003],[-89.435057,37.34531],[-89.517211,37.279587],[-89.292656,36.994786],[-89.133825,36.983832],[-89.215979,36.578538],[-89.363857,36.622354],[-89.418626,36.496384],[-89.484349,36.496384],[-89.539119,36.496384],[-89.533642,36.249922],[-89.730812,35.997983],[-90.377091,35.997983],[-90.218259,36.184199],[-90.064905,36.304691],[-90.152536,36.496384],[-94.473842,36.501861],[-94.616242,36.501861],[-94.616242,37.000263],[-94.610765,39.158177],[-94.824366,39.20747],[-94.983197,39.442978],[-95.109167,39.541563],[-94.884612,39.831841],[-95.207752,39.908518],[-95.306337,40.001626],[-95.552799,40.264519],[-95.7664,40.587659],[-94.632673,40.571228],[-93.257961,40.582182],[-91.833957,40.609566]]]}},</v>
      </c>
    </row>
    <row r="28" spans="1:24" x14ac:dyDescent="0.3">
      <c r="A28" t="s">
        <v>306</v>
      </c>
      <c r="B28" t="s">
        <v>271</v>
      </c>
      <c r="C28" t="str">
        <f t="shared" si="3"/>
        <v>"housevalue":227500}</v>
      </c>
      <c r="D28" t="str">
        <f t="shared" ca="1" si="7"/>
        <v>"hv01":141400,</v>
      </c>
      <c r="E28" t="str">
        <f t="shared" ca="1" si="7"/>
        <v>"hv02":146200,</v>
      </c>
      <c r="F28" t="str">
        <f t="shared" ca="1" si="7"/>
        <v>"hv03":138400,</v>
      </c>
      <c r="G28" t="str">
        <f t="shared" ca="1" si="7"/>
        <v>"hv04":149800,</v>
      </c>
      <c r="H28" t="str">
        <f t="shared" ca="1" si="7"/>
        <v>"hv05":161000,</v>
      </c>
      <c r="I28" t="str">
        <f t="shared" ca="1" si="7"/>
        <v>"hv06":173000,</v>
      </c>
      <c r="J28" t="str">
        <f t="shared" ca="1" si="7"/>
        <v>"hv07":180600,</v>
      </c>
      <c r="K28" t="str">
        <f t="shared" ca="1" si="7"/>
        <v>"hv08":182400,</v>
      </c>
      <c r="L28" t="str">
        <f t="shared" ca="1" si="7"/>
        <v>"hv09":180700,</v>
      </c>
      <c r="M28" t="str">
        <f t="shared" ca="1" si="7"/>
        <v>"hv10":180500,</v>
      </c>
      <c r="N28" t="str">
        <f t="shared" ca="1" si="7"/>
        <v>"hv11":178100,</v>
      </c>
      <c r="O28" t="str">
        <f t="shared" ca="1" si="7"/>
        <v>"hv12":182600,</v>
      </c>
      <c r="P28" t="str">
        <f t="shared" ca="1" si="7"/>
        <v>"hv13":187500,</v>
      </c>
      <c r="Q28" t="str">
        <f t="shared" ca="1" si="7"/>
        <v>"hv14":192300,</v>
      </c>
      <c r="R28" t="str">
        <f t="shared" ca="1" si="7"/>
        <v>"hv15":197300,</v>
      </c>
      <c r="S28" t="str">
        <f t="shared" ca="1" si="7"/>
        <v>"hv16":208400,</v>
      </c>
      <c r="T28" t="str">
        <f t="shared" ca="1" si="2"/>
        <v>"hv17":214500}</v>
      </c>
      <c r="U28" t="str">
        <f t="shared" ca="1" si="5"/>
        <v>"hv01":141400,"hv02":146200,"hv03":138400,"hv04":149800,"hv05":161000,"hv06":173000,"hv07":180600,"hv08":182400,"hv09":180700,"hv10":180500,"hv11":178100,"hv12":182600,"hv13":187500,"hv14":192300,"hv15":197300,"hv16":208400,"hv17":214500}</v>
      </c>
      <c r="V28" t="s">
        <v>363</v>
      </c>
      <c r="X28" s="4" t="str">
        <f t="shared" si="4"/>
        <v xml:space="preserve">    {"type":"Feature","id":"30","properties":{"name":"Montana","hv01":141400,"hv02":146200,"hv03":138400,"hv04":149800,"hv05":161000,"hv06":173000,"hv07":180600,"hv08":182400,"hv09":180700,"hv10":180500,"hv11":178100,"hv12":182600,"hv13":187500,"hv14":192300,"hv15":197300,"hv16":208400,"hv17":214500},"geometry":{"type":"Polygon","coordinates":[[[-104.047534,49.000239],[-104.042057,47.861036],[-104.047534,45.944106],[-104.042057,44.996596],[-104.058488,44.996596],[-105.91517,45.002073],[-109.080842,45.002073],[-111.05254,45.002073],[-111.047063,44.476286],[-111.227803,44.580348],[-111.386634,44.75561],[-111.616665,44.547487],[-111.819312,44.509148],[-111.868605,44.563917],[-112.104113,44.520102],[-112.241036,44.569394],[-112.471068,44.481763],[-112.783254,44.48724],[-112.887315,44.394132],[-113.002331,44.448902],[-113.133778,44.772041],[-113.341901,44.782995],[-113.456917,44.865149],[-113.45144,45.056842],[-113.571933,45.128042],[-113.736241,45.330689],[-113.834826,45.522382],[-113.807441,45.604536],[-113.98818,45.703121],[-114.086765,45.593582],[-114.333228,45.456659],[-114.546828,45.560721],[-114.497536,45.670259],[-114.568736,45.774321],[-114.387997,45.88386],[-114.492059,46.037214],[-114.464674,46.272723],[-114.322274,46.645155],[-114.612552,46.639678],[-114.623506,46.705401],[-114.886399,46.809463],[-114.930214,46.919002],[-115.302646,47.187372],[-115.324554,47.258572],[-115.527201,47.302388],[-115.718894,47.42288],[-115.724371,47.696727],[-116.04751,47.976051],[-116.04751,49.000239],[-111.50165,48.994762],[-109.453274,49.000239],[-104.047534,49.000239]]]}},</v>
      </c>
    </row>
    <row r="29" spans="1:24" x14ac:dyDescent="0.3">
      <c r="A29" t="s">
        <v>307</v>
      </c>
      <c r="B29" t="s">
        <v>265</v>
      </c>
      <c r="C29" t="str">
        <f t="shared" si="3"/>
        <v>"housevalue":161200}</v>
      </c>
      <c r="D29" t="str">
        <f t="shared" ca="1" si="7"/>
        <v>"hv01":93100,</v>
      </c>
      <c r="E29" t="str">
        <f t="shared" ca="1" si="7"/>
        <v>"hv02":97000,</v>
      </c>
      <c r="F29" t="str">
        <f t="shared" ca="1" si="7"/>
        <v>"hv03":104200,</v>
      </c>
      <c r="G29" t="str">
        <f t="shared" ca="1" si="7"/>
        <v>"hv04":112200,</v>
      </c>
      <c r="H29" t="str">
        <f t="shared" ca="1" si="7"/>
        <v>"hv05":117400,</v>
      </c>
      <c r="I29" t="str">
        <f t="shared" ca="1" si="7"/>
        <v>"hv06":121100,</v>
      </c>
      <c r="J29" t="str">
        <f t="shared" ca="1" si="7"/>
        <v>"hv07":120600,</v>
      </c>
      <c r="K29" t="str">
        <f t="shared" ca="1" si="7"/>
        <v>"hv08":118200,</v>
      </c>
      <c r="L29" t="str">
        <f t="shared" ca="1" si="7"/>
        <v>"hv09":118600,</v>
      </c>
      <c r="M29" t="str">
        <f t="shared" ca="1" si="7"/>
        <v>"hv10":117800,</v>
      </c>
      <c r="N29" t="str">
        <f t="shared" ca="1" si="7"/>
        <v>"hv11":116400,</v>
      </c>
      <c r="O29" t="str">
        <f t="shared" ca="1" si="7"/>
        <v>"hv12":120000,</v>
      </c>
      <c r="P29" t="str">
        <f t="shared" ca="1" si="7"/>
        <v>"hv13":123400,</v>
      </c>
      <c r="Q29" t="str">
        <f t="shared" ca="1" si="7"/>
        <v>"hv14":127600,</v>
      </c>
      <c r="R29" t="str">
        <f t="shared" ca="1" si="7"/>
        <v>"hv15":134500,</v>
      </c>
      <c r="S29" t="str">
        <f t="shared" ca="1" si="7"/>
        <v>"hv16":141900,</v>
      </c>
      <c r="T29" t="str">
        <f t="shared" ca="1" si="2"/>
        <v>"hv17":152000}</v>
      </c>
      <c r="U29" t="str">
        <f t="shared" ca="1" si="5"/>
        <v>"hv01":93100,"hv02":97000,"hv03":104200,"hv04":112200,"hv05":117400,"hv06":121100,"hv07":120600,"hv08":118200,"hv09":118600,"hv10":117800,"hv11":116400,"hv12":120000,"hv13":123400,"hv14":127600,"hv15":134500,"hv16":141900,"hv17":152000}</v>
      </c>
      <c r="V29" t="s">
        <v>364</v>
      </c>
      <c r="X29" s="4" t="str">
        <f t="shared" si="4"/>
        <v xml:space="preserve">    {"type":"Feature","id":"31","properties":{"name":"Nebraska","hv01":93100,"hv02":97000,"hv03":104200,"hv04":112200,"hv05":117400,"hv06":121100,"hv07":120600,"hv08":118200,"hv09":118600,"hv10":117800,"hv11":116400,"hv12":120000,"hv13":123400,"hv14":127600,"hv15":134500,"hv16":141900,"hv17":152000},"geometry":{"type":"Polygon","coordinates":[[[-103.324578,43.002989],[-101.626726,42.997512],[-98.499393,42.997512],[-98.466531,42.94822],[-97.951699,42.767481],[-97.831206,42.866066],[-97.688806,42.844158],[-97.217789,42.844158],[-96.692003,42.657942],[-96.626279,42.515542],[-96.44554,42.488157],[-96.264801,42.039048],[-96.127878,41.973325],[-96.062155,41.798063],[-96.122401,41.67757],[-96.095016,41.540646],[-95.919754,41.453015],[-95.925231,41.201076],[-95.826646,40.976521],[-95.881416,40.719105],[-95.7664,40.587659],[-95.552799,40.264519],[-95.306337,40.001626],[-101.90605,40.001626],[-102.053927,40.001626],[-102.053927,41.003906],[-104.053011,41.003906],[-104.053011,43.002989],[-103.324578,43.002989]]]}},</v>
      </c>
    </row>
    <row r="30" spans="1:24" x14ac:dyDescent="0.3">
      <c r="A30" t="s">
        <v>308</v>
      </c>
      <c r="B30" t="s">
        <v>262</v>
      </c>
      <c r="C30" t="str">
        <f t="shared" si="3"/>
        <v>"housevalue":284300}</v>
      </c>
      <c r="D30" t="str">
        <f t="shared" ca="1" si="7"/>
        <v>"hv01":156600,</v>
      </c>
      <c r="E30" t="str">
        <f t="shared" ca="1" si="7"/>
        <v>"hv02":167200,</v>
      </c>
      <c r="F30" t="str">
        <f t="shared" ca="1" si="7"/>
        <v>"hv03":197900,</v>
      </c>
      <c r="G30" t="str">
        <f t="shared" ca="1" si="7"/>
        <v>"hv04":280800,</v>
      </c>
      <c r="H30" t="str">
        <f t="shared" ca="1" si="7"/>
        <v>"hv05":312900,</v>
      </c>
      <c r="I30" t="str">
        <f t="shared" ca="1" si="7"/>
        <v>"hv06":307900,</v>
      </c>
      <c r="J30" t="str">
        <f t="shared" ca="1" si="7"/>
        <v>"hv07":268100,</v>
      </c>
      <c r="K30" t="str">
        <f t="shared" ca="1" si="7"/>
        <v>"hv08":201600,</v>
      </c>
      <c r="L30" t="str">
        <f t="shared" ca="1" si="7"/>
        <v>"hv09":154000,</v>
      </c>
      <c r="M30" t="str">
        <f t="shared" ca="1" si="7"/>
        <v>"hv10":140900,</v>
      </c>
      <c r="N30" t="str">
        <f t="shared" ca="1" si="7"/>
        <v>"hv11":126800,</v>
      </c>
      <c r="O30" t="str">
        <f t="shared" ca="1" si="7"/>
        <v>"hv12":141200,</v>
      </c>
      <c r="P30" t="str">
        <f t="shared" ca="1" si="7"/>
        <v>"hv13":175400,</v>
      </c>
      <c r="Q30" t="str">
        <f t="shared" ca="1" si="7"/>
        <v>"hv14":193500,</v>
      </c>
      <c r="R30" t="str">
        <f t="shared" ca="1" si="7"/>
        <v>"hv15":211400,</v>
      </c>
      <c r="S30" t="str">
        <f t="shared" ca="1" si="7"/>
        <v>"hv16":230500,</v>
      </c>
      <c r="T30" t="str">
        <f t="shared" ca="1" si="2"/>
        <v>"hv17":258600}</v>
      </c>
      <c r="U30" t="str">
        <f t="shared" ca="1" si="5"/>
        <v>"hv01":156600,"hv02":167200,"hv03":197900,"hv04":280800,"hv05":312900,"hv06":307900,"hv07":268100,"hv08":201600,"hv09":154000,"hv10":140900,"hv11":126800,"hv12":141200,"hv13":175400,"hv14":193500,"hv15":211400,"hv16":230500,"hv17":258600}</v>
      </c>
      <c r="V30" t="s">
        <v>365</v>
      </c>
      <c r="X30" s="4" t="str">
        <f t="shared" si="4"/>
        <v xml:space="preserve">    {"type":"Feature","id":"32","properties":{"name":"Nevada","hv01":156600,"hv02":167200,"hv03":197900,"hv04":280800,"hv05":312900,"hv06":307900,"hv07":268100,"hv08":201600,"hv09":154000,"hv10":140900,"hv11":126800,"hv12":141200,"hv13":175400,"hv14":193500,"hv15":211400,"hv16":230500,"hv17":258600},"geometry":{"type":"Polygon","coordinates":[[[-117.027882,42.000709],[-114.04295,41.995232],[-114.048427,37.000263],[-114.048427,36.195153],[-114.152489,36.025367],[-114.251074,36.01989],[-114.371566,36.140383],[-114.738521,36.102045],[-114.678275,35.516012],[-114.596121,35.324319],[-114.574213,35.138103],[-114.634459,35.00118],[-115.85034,35.970598],[-116.540435,36.501861],[-117.498899,37.21934],[-118.71478,38.101128],[-120.001861,38.999346],[-119.996384,40.264519],[-120.001861,41.995232],[-118.698349,41.989755],[-117.027882,42.000709]]]}},</v>
      </c>
    </row>
    <row r="31" spans="1:24" x14ac:dyDescent="0.3">
      <c r="A31" t="s">
        <v>309</v>
      </c>
      <c r="B31" t="s">
        <v>269</v>
      </c>
      <c r="C31" t="str">
        <f t="shared" si="3"/>
        <v>"housevalue":270200}</v>
      </c>
      <c r="D31" t="str">
        <f t="shared" ca="1" si="7"/>
        <v>"hv01":169700,</v>
      </c>
      <c r="E31" t="str">
        <f t="shared" ca="1" si="7"/>
        <v>"hv02":192300,</v>
      </c>
      <c r="F31" t="str">
        <f t="shared" ca="1" si="7"/>
        <v>"hv03":218400,</v>
      </c>
      <c r="G31" t="str">
        <f t="shared" ca="1" si="7"/>
        <v>"hv04":243900,</v>
      </c>
      <c r="H31" t="str">
        <f t="shared" ca="1" si="7"/>
        <v>"hv05":260300,</v>
      </c>
      <c r="I31" t="str">
        <f t="shared" ca="1" si="7"/>
        <v>"hv06":254400,</v>
      </c>
      <c r="J31" t="str">
        <f t="shared" ca="1" si="7"/>
        <v>"hv07":243800,</v>
      </c>
      <c r="K31" t="str">
        <f t="shared" ca="1" si="7"/>
        <v>"hv08":225100,</v>
      </c>
      <c r="L31" t="str">
        <f t="shared" ca="1" si="7"/>
        <v>"hv09":213600,</v>
      </c>
      <c r="M31" t="str">
        <f t="shared" ca="1" si="7"/>
        <v>"hv10":206000,</v>
      </c>
      <c r="N31" t="str">
        <f t="shared" ca="1" si="7"/>
        <v>"hv11":196000,</v>
      </c>
      <c r="O31" t="str">
        <f t="shared" ca="1" si="7"/>
        <v>"hv12":198600,</v>
      </c>
      <c r="P31" t="str">
        <f t="shared" ca="1" si="7"/>
        <v>"hv13":208500,</v>
      </c>
      <c r="Q31" t="str">
        <f t="shared" ca="1" si="7"/>
        <v>"hv14":215900,</v>
      </c>
      <c r="R31" t="str">
        <f t="shared" ca="1" si="7"/>
        <v>"hv15":225100,</v>
      </c>
      <c r="S31" t="str">
        <f t="shared" ca="1" si="7"/>
        <v>"hv16":237000,</v>
      </c>
      <c r="T31" t="str">
        <f t="shared" ca="1" si="2"/>
        <v>"hv17":255100}</v>
      </c>
      <c r="U31" t="str">
        <f t="shared" ca="1" si="5"/>
        <v>"hv01":169700,"hv02":192300,"hv03":218400,"hv04":243900,"hv05":260300,"hv06":254400,"hv07":243800,"hv08":225100,"hv09":213600,"hv10":206000,"hv11":196000,"hv12":198600,"hv13":208500,"hv14":215900,"hv15":225100,"hv16":237000,"hv17":255100}</v>
      </c>
      <c r="V31" t="s">
        <v>366</v>
      </c>
      <c r="X31" s="4" t="str">
        <f t="shared" si="4"/>
        <v xml:space="preserve">    {"type":"Feature","id":"33","properties":{"name":"New Hampshire","hv01":169700,"hv02":192300,"hv03":218400,"hv04":243900,"hv05":260300,"hv06":254400,"hv07":243800,"hv08":225100,"hv09":213600,"hv10":206000,"hv11":196000,"hv12":198600,"hv13":208500,"hv14":215900,"hv15":225100,"hv16":237000,"hv17":255100},"geometry":{"type":"Polygon","coordinates":[[[-71.08183,45.303304],[-71.032537,44.657025],[-70.966814,43.34256],[-70.807983,43.227544],[-70.824413,43.128959],[-70.703921,43.057759],[-70.818936,42.871543],[-70.917521,42.887974],[-71.185891,42.789389],[-71.29543,42.696281],[-72.456542,42.729142],[-72.544173,42.80582],[-72.533219,42.953697],[-72.445588,43.008466],[-72.456542,43.150867],[-72.379864,43.572591],[-72.204602,43.769761],[-72.116971,43.994316],[-72.02934,44.07647],[-72.034817,44.322932],[-71.700724,44.41604],[-71.536416,44.585825],[-71.629524,44.750133],[-71.4926,44.914442],[-71.503554,45.013027],[-71.361154,45.270443],[-71.131122,45.243058],[-71.08183,45.303304]]]}},</v>
      </c>
    </row>
    <row r="32" spans="1:24" x14ac:dyDescent="0.3">
      <c r="A32" t="s">
        <v>310</v>
      </c>
      <c r="B32" t="s">
        <v>238</v>
      </c>
      <c r="C32" t="str">
        <f t="shared" si="3"/>
        <v>"housevalue":321200}</v>
      </c>
      <c r="D32" t="str">
        <f t="shared" ref="D32:S41" ca="1" si="8">CHAR(34)&amp;D$56&amp;CHAR(34)&amp;":"&amp;INDIRECT("HV_RAW_VALUE!"&amp;D$1&amp;ROW($A32))&amp;","</f>
        <v>"hv01":202000,</v>
      </c>
      <c r="E32" t="str">
        <f t="shared" ca="1" si="8"/>
        <v>"hv02":238000,</v>
      </c>
      <c r="F32" t="str">
        <f t="shared" ca="1" si="8"/>
        <v>"hv03":273300,</v>
      </c>
      <c r="G32" t="str">
        <f t="shared" ca="1" si="8"/>
        <v>"hv04":315100,</v>
      </c>
      <c r="H32" t="str">
        <f t="shared" ca="1" si="8"/>
        <v>"hv05":360500,</v>
      </c>
      <c r="I32" t="str">
        <f t="shared" ca="1" si="8"/>
        <v>"hv06":372800,</v>
      </c>
      <c r="J32" t="str">
        <f t="shared" ca="1" si="8"/>
        <v>"hv07":356300,</v>
      </c>
      <c r="K32" t="str">
        <f t="shared" ca="1" si="8"/>
        <v>"hv08":324600,</v>
      </c>
      <c r="L32" t="str">
        <f t="shared" ca="1" si="8"/>
        <v>"hv09":299800,</v>
      </c>
      <c r="M32" t="str">
        <f t="shared" ca="1" si="8"/>
        <v>"hv10":283300,</v>
      </c>
      <c r="N32" t="str">
        <f t="shared" ca="1" si="8"/>
        <v>"hv11":263300,</v>
      </c>
      <c r="O32" t="str">
        <f t="shared" ca="1" si="8"/>
        <v>"hv12":256000,</v>
      </c>
      <c r="P32" t="str">
        <f t="shared" ca="1" si="8"/>
        <v>"hv13":265300,</v>
      </c>
      <c r="Q32" t="str">
        <f t="shared" ca="1" si="8"/>
        <v>"hv14":272200,</v>
      </c>
      <c r="R32" t="str">
        <f t="shared" ca="1" si="8"/>
        <v>"hv15":274700,</v>
      </c>
      <c r="S32" t="str">
        <f t="shared" ca="1" si="8"/>
        <v>"hv16":280200,</v>
      </c>
      <c r="T32" t="str">
        <f t="shared" ca="1" si="2"/>
        <v>"hv17":306600}</v>
      </c>
      <c r="U32" t="str">
        <f t="shared" ca="1" si="5"/>
        <v>"hv01":202000,"hv02":238000,"hv03":273300,"hv04":315100,"hv05":360500,"hv06":372800,"hv07":356300,"hv08":324600,"hv09":299800,"hv10":283300,"hv11":263300,"hv12":256000,"hv13":265300,"hv14":272200,"hv15":274700,"hv16":280200,"hv17":306600}</v>
      </c>
      <c r="V32" t="s">
        <v>367</v>
      </c>
      <c r="X32" s="4" t="str">
        <f t="shared" si="4"/>
        <v xml:space="preserve">    {"type":"Feature","id":"34","properties":{"name":"New Jersey","hv01":202000,"hv02":238000,"hv03":273300,"hv04":315100,"hv05":360500,"hv06":372800,"hv07":356300,"hv08":324600,"hv09":299800,"hv10":283300,"hv11":263300,"hv12":256000,"hv13":265300,"hv14":272200,"hv15":274700,"hv16":280200,"hv17":306600},"geometry":{"type":"Polygon","coordinates":[[[-74.236547,41.14083],[-73.902454,40.998429],[-74.022947,40.708151],[-74.187255,40.642428],[-74.274886,40.489074],[-74.001039,40.412397],[-73.979131,40.297381],[-74.099624,39.760641],[-74.411809,39.360824],[-74.614456,39.245808],[-74.795195,38.993869],[-74.888303,39.158177],[-75.178581,39.240331],[-75.534582,39.459409],[-75.55649,39.607286],[-75.561967,39.629194],[-75.507197,39.683964],[-75.414089,39.804456],[-75.145719,39.88661],[-75.129289,39.963288],[-74.82258,40.127596],[-74.773287,40.215227],[-75.058088,40.417874],[-75.069042,40.543843],[-75.195012,40.576705],[-75.205966,40.691721],[-75.052611,40.866983],[-75.134765,40.971045],[-74.882826,41.179168],[-74.828057,41.288707],[-74.69661,41.359907],[-74.236547,41.14083]]]}},</v>
      </c>
    </row>
    <row r="33" spans="1:24" x14ac:dyDescent="0.3">
      <c r="A33" t="s">
        <v>311</v>
      </c>
      <c r="B33" t="s">
        <v>263</v>
      </c>
      <c r="C33" t="str">
        <f t="shared" si="3"/>
        <v>"housevalue":190100}</v>
      </c>
      <c r="D33" t="str">
        <f t="shared" ca="1" si="8"/>
        <v>"hv01":135800,</v>
      </c>
      <c r="E33" t="str">
        <f t="shared" ca="1" si="8"/>
        <v>"hv02":137400,</v>
      </c>
      <c r="F33" t="str">
        <f t="shared" ca="1" si="8"/>
        <v>"hv03":149200,</v>
      </c>
      <c r="G33" t="str">
        <f t="shared" ca="1" si="8"/>
        <v>"hv04":151600,</v>
      </c>
      <c r="H33" t="str">
        <f t="shared" ca="1" si="8"/>
        <v>"hv05":157300,</v>
      </c>
      <c r="I33" t="str">
        <f t="shared" ca="1" si="8"/>
        <v>"hv06":178900,</v>
      </c>
      <c r="J33" t="str">
        <f t="shared" ca="1" si="8"/>
        <v>"hv07":184200,</v>
      </c>
      <c r="K33" t="str">
        <f t="shared" ca="1" si="8"/>
        <v>"hv08":180500,</v>
      </c>
      <c r="L33" t="str">
        <f t="shared" ca="1" si="8"/>
        <v>"hv09":175000,</v>
      </c>
      <c r="M33" t="str">
        <f t="shared" ca="1" si="8"/>
        <v>"hv10":167400,</v>
      </c>
      <c r="N33" t="str">
        <f t="shared" ca="1" si="8"/>
        <v>"hv11":156700,</v>
      </c>
      <c r="O33" t="str">
        <f t="shared" ca="1" si="8"/>
        <v>"hv12":153700,</v>
      </c>
      <c r="P33" t="str">
        <f t="shared" ca="1" si="8"/>
        <v>"hv13":154300,</v>
      </c>
      <c r="Q33" t="str">
        <f t="shared" ca="1" si="8"/>
        <v>"hv14":157100,</v>
      </c>
      <c r="R33" t="str">
        <f t="shared" ca="1" si="8"/>
        <v>"hv15":164000,</v>
      </c>
      <c r="S33" t="str">
        <f t="shared" ca="1" si="8"/>
        <v>"hv16":170600,</v>
      </c>
      <c r="T33" t="str">
        <f t="shared" ca="1" si="2"/>
        <v>"hv17":179000}</v>
      </c>
      <c r="U33" t="str">
        <f t="shared" ca="1" si="5"/>
        <v>"hv01":135800,"hv02":137400,"hv03":149200,"hv04":151600,"hv05":157300,"hv06":178900,"hv07":184200,"hv08":180500,"hv09":175000,"hv10":167400,"hv11":156700,"hv12":153700,"hv13":154300,"hv14":157100,"hv15":164000,"hv16":170600,"hv17":179000}</v>
      </c>
      <c r="V33" t="s">
        <v>368</v>
      </c>
      <c r="X33" s="4" t="str">
        <f t="shared" si="4"/>
        <v xml:space="preserve">    {"type":"Feature","id":"35","properties":{"name":"New Mexico","hv01":135800,"hv02":137400,"hv03":149200,"hv04":151600,"hv05":157300,"hv06":178900,"hv07":184200,"hv08":180500,"hv09":175000,"hv10":167400,"hv11":156700,"hv12":153700,"hv13":154300,"hv14":157100,"hv15":164000,"hv16":170600,"hv17":179000},"geometry":{"type":"Polygon","coordinates":[[[-107.421329,37.000263],[-106.868158,36.994786],[-104.337812,36.994786],[-103.001438,37.000263],[-103.001438,36.501861],[-103.039777,36.501861],[-103.045254,34.01533],[-103.067161,33.002096],[-103.067161,31.999816],[-106.616219,31.999816],[-106.643603,31.901231],[-106.528588,31.786216],[-108.210008,31.786216],[-108.210008,31.331629],[-109.04798,31.331629],[-109.042503,37.000263],[-107.421329,37.000263]]]}},</v>
      </c>
    </row>
    <row r="34" spans="1:24" x14ac:dyDescent="0.3">
      <c r="A34" t="s">
        <v>312</v>
      </c>
      <c r="B34" t="s">
        <v>230</v>
      </c>
      <c r="C34" t="str">
        <f t="shared" si="3"/>
        <v>"housevalue":283800}</v>
      </c>
      <c r="D34" t="str">
        <f t="shared" ca="1" si="8"/>
        <v>"hv01":169800,</v>
      </c>
      <c r="E34" t="str">
        <f t="shared" ca="1" si="8"/>
        <v>"hv02":191600,</v>
      </c>
      <c r="F34" t="str">
        <f t="shared" ca="1" si="8"/>
        <v>"hv03":223700,</v>
      </c>
      <c r="G34" t="str">
        <f t="shared" ca="1" si="8"/>
        <v>"hv04":258200,</v>
      </c>
      <c r="H34" t="str">
        <f t="shared" ca="1" si="8"/>
        <v>"hv05":291900,</v>
      </c>
      <c r="I34" t="str">
        <f t="shared" ca="1" si="8"/>
        <v>"hv06":303600,</v>
      </c>
      <c r="J34" t="str">
        <f t="shared" ca="1" si="8"/>
        <v>"hv07":299600,</v>
      </c>
      <c r="K34" t="str">
        <f t="shared" ca="1" si="8"/>
        <v>"hv08":273100,</v>
      </c>
      <c r="L34" t="str">
        <f t="shared" ca="1" si="8"/>
        <v>"hv09":257200,</v>
      </c>
      <c r="M34" t="str">
        <f t="shared" ca="1" si="8"/>
        <v>"hv10":245500,</v>
      </c>
      <c r="N34" t="str">
        <f t="shared" ca="1" si="8"/>
        <v>"hv11":234100,</v>
      </c>
      <c r="O34" t="str">
        <f t="shared" ca="1" si="8"/>
        <v>"hv12":231400,</v>
      </c>
      <c r="P34" t="str">
        <f t="shared" ca="1" si="8"/>
        <v>"hv13":238800,</v>
      </c>
      <c r="Q34" t="str">
        <f t="shared" ca="1" si="8"/>
        <v>"hv14":244400,</v>
      </c>
      <c r="R34" t="str">
        <f t="shared" ca="1" si="8"/>
        <v>"hv15":251300,</v>
      </c>
      <c r="S34" t="str">
        <f t="shared" ca="1" si="8"/>
        <v>"hv16":261800,</v>
      </c>
      <c r="T34" t="str">
        <f t="shared" ref="T34:T52" ca="1" si="9">CHAR(34)&amp;T$56&amp;CHAR(34)&amp;":"&amp;INDIRECT("HV_RAW_VALUE!"&amp;T$1&amp;ROW($A34))&amp;"}"</f>
        <v>"hv17":277400}</v>
      </c>
      <c r="U34" t="str">
        <f t="shared" ca="1" si="5"/>
        <v>"hv01":169800,"hv02":191600,"hv03":223700,"hv04":258200,"hv05":291900,"hv06":303600,"hv07":299600,"hv08":273100,"hv09":257200,"hv10":245500,"hv11":234100,"hv12":231400,"hv13":238800,"hv14":244400,"hv15":251300,"hv16":261800,"hv17":277400}</v>
      </c>
      <c r="V34" t="s">
        <v>369</v>
      </c>
      <c r="X34" s="4" t="str">
        <f t="shared" si="4"/>
        <v xml:space="preserve">    {"type":"Feature","id":"36","properties":{"name":"New York","hv01":169800,"hv02":191600,"hv03":223700,"hv04":258200,"hv05":291900,"hv06":303600,"hv07":299600,"hv08":273100,"hv09":257200,"hv10":245500,"hv11":234100,"hv12":231400,"hv13":238800,"hv14":244400,"hv15":251300,"hv16":261800,"hv17":277400},"geometry":{"type":"Polygon","coordinates":[[[-73.343806,45.013027],[-73.332852,44.804903],[-73.387622,44.618687],[-73.294514,44.437948],[-73.321898,44.246255],[-73.436914,44.043608],[-73.349283,43.769761],[-73.404052,43.687607],[-73.245221,43.523299],[-73.278083,42.833204],[-73.267129,42.745573],[-73.508114,42.08834],[-73.486206,42.050002],[-73.55193,41.294184],[-73.48073,41.21203],[-73.727192,41.102491],[-73.655992,40.987475],[-73.22879,40.905321],[-73.141159,40.965568],[-72.774204,40.965568],[-72.587988,40.998429],[-72.28128,41.157261],[-72.259372,41.042245],[-72.100541,40.992952],[-72.467496,40.845075],[-73.239744,40.625997],[-73.562884,40.582182],[-73.776484,40.593136],[-73.935316,40.543843],[-74.022947,40.708151],[-73.902454,40.998429],[-74.236547,41.14083],[-74.69661,41.359907],[-74.740426,41.431108],[-74.89378,41.436584],[-75.074519,41.60637],[-75.052611,41.754247],[-75.173104,41.869263],[-75.249781,41.863786],[-75.35932,42.000709],[-79.76278,42.000709],[-79.76278,42.252649],[-79.76278,42.269079],[-79.149363,42.55388],[-79.050778,42.690804],[-78.853608,42.783912],[-78.930285,42.953697],[-79.012439,42.986559],[-79.072686,43.260406],[-78.486653,43.375421],[-77.966344,43.369944],[-77.75822,43.34256],[-77.533665,43.233021],[-77.391265,43.276836],[-76.958587,43.271359],[-76.695693,43.34256],[-76.41637,43.523299],[-76.235631,43.528776],[-76.230154,43.802623],[-76.137046,43.961454],[-76.3616,44.070993],[-76.312308,44.196962],[-75.912491,44.366748],[-75.764614,44.514625],[-75.282643,44.848718],[-74.828057,45.018503],[-74.148916,44.991119],[-73.343806,45.013027]]]}},</v>
      </c>
    </row>
    <row r="35" spans="1:24" x14ac:dyDescent="0.3">
      <c r="A35" t="s">
        <v>313</v>
      </c>
      <c r="B35" t="s">
        <v>237</v>
      </c>
      <c r="C35" t="str">
        <f t="shared" si="3"/>
        <v>"housevalue":177400}</v>
      </c>
      <c r="D35" t="str">
        <f t="shared" ca="1" si="8"/>
        <v>"hv01":116300,</v>
      </c>
      <c r="E35" t="str">
        <f t="shared" ca="1" si="8"/>
        <v>"hv02":120500,</v>
      </c>
      <c r="F35" t="str">
        <f t="shared" ca="1" si="8"/>
        <v>"hv03":126100,</v>
      </c>
      <c r="G35" t="str">
        <f t="shared" ca="1" si="8"/>
        <v>"hv04":134000,</v>
      </c>
      <c r="H35" t="str">
        <f t="shared" ca="1" si="8"/>
        <v>"hv05":140900,</v>
      </c>
      <c r="I35" t="str">
        <f t="shared" ca="1" si="8"/>
        <v>"hv06":150500,</v>
      </c>
      <c r="J35" t="str">
        <f t="shared" ca="1" si="8"/>
        <v>"hv07":154000,</v>
      </c>
      <c r="K35" t="str">
        <f t="shared" ca="1" si="8"/>
        <v>"hv08":149500,</v>
      </c>
      <c r="L35" t="str">
        <f t="shared" ca="1" si="8"/>
        <v>"hv09":144500,</v>
      </c>
      <c r="M35" t="str">
        <f t="shared" ca="1" si="8"/>
        <v>"hv10":140000,</v>
      </c>
      <c r="N35" t="str">
        <f t="shared" ca="1" si="8"/>
        <v>"hv11":134800,</v>
      </c>
      <c r="O35" t="str">
        <f t="shared" ca="1" si="8"/>
        <v>"hv12":134900,</v>
      </c>
      <c r="P35" t="str">
        <f t="shared" ca="1" si="8"/>
        <v>"hv13":139000,</v>
      </c>
      <c r="Q35" t="str">
        <f t="shared" ca="1" si="8"/>
        <v>"hv14":142000,</v>
      </c>
      <c r="R35" t="str">
        <f t="shared" ca="1" si="8"/>
        <v>"hv15":147300,</v>
      </c>
      <c r="S35" t="str">
        <f t="shared" ca="1" si="8"/>
        <v>"hv16":157300,</v>
      </c>
      <c r="T35" t="str">
        <f t="shared" ca="1" si="9"/>
        <v>"hv17":167100}</v>
      </c>
      <c r="U35" t="str">
        <f t="shared" ca="1" si="5"/>
        <v>"hv01":116300,"hv02":120500,"hv03":126100,"hv04":134000,"hv05":140900,"hv06":150500,"hv07":154000,"hv08":149500,"hv09":144500,"hv10":140000,"hv11":134800,"hv12":134900,"hv13":139000,"hv14":142000,"hv15":147300,"hv16":157300,"hv17":167100}</v>
      </c>
      <c r="V35" t="s">
        <v>370</v>
      </c>
      <c r="X35" s="4" t="str">
        <f t="shared" si="4"/>
        <v xml:space="preserve">    {"type":"Feature","id":"37","properties":{"name":"North Carolina","hv01":116300,"hv02":120500,"hv03":126100,"hv04":134000,"hv05":140900,"hv06":150500,"hv07":154000,"hv08":149500,"hv09":144500,"hv10":140000,"hv11":134800,"hv12":134900,"hv13":139000,"hv14":142000,"hv15":147300,"hv16":157300,"hv17":167100},"geometry":{"type":"Polygon","coordinates":[[[-80.978661,36.562108],[-80.294043,36.545677],[-79.510841,36.5402],[-75.868676,36.551154],[-75.75366,36.151337],[-76.032984,36.189676],[-76.071322,36.140383],[-76.410893,36.080137],[-76.460185,36.025367],[-76.68474,36.008937],[-76.673786,35.937736],[-76.399939,35.987029],[-76.3616,35.943213],[-76.060368,35.992506],[-75.961783,35.899398],[-75.781044,35.937736],[-75.715321,35.696751],[-75.775568,35.581735],[-75.89606,35.570781],[-76.147999,35.324319],[-76.482093,35.313365],[-76.536862,35.14358],[-76.394462,34.973795],[-76.279446,34.940933],[-76.493047,34.661609],[-76.673786,34.694471],[-76.991448,34.667086],[-77.210526,34.60684],[-77.555573,34.415147],[-77.82942,34.163208],[-77.971821,33.845545],[-78.179944,33.916745],[-78.541422,33.851022],[-79.675149,34.80401],[-80.797922,34.820441],[-80.781491,34.935456],[-80.934845,35.105241],[-81.038907,35.044995],[-81.044384,35.149057],[-82.276696,35.198349],[-82.550543,35.160011],[-82.764143,35.066903],[-83.109191,35.00118],[-83.618546,34.984749],[-84.319594,34.990226],[-84.29221,35.225734],[-84.09504,35.247642],[-84.018363,35.41195],[-83.7719,35.559827],[-83.498053,35.565304],[-83.251591,35.718659],[-82.994175,35.773428],[-82.775097,35.997983],[-82.638174,36.063706],[-82.610789,35.965121],[-82.216449,36.156814],[-82.03571,36.118475],[-81.909741,36.304691],[-81.723525,36.353984],[-81.679709,36.589492],[-80.978661,36.562108]]]}},</v>
      </c>
    </row>
    <row r="36" spans="1:24" x14ac:dyDescent="0.3">
      <c r="A36" t="s">
        <v>314</v>
      </c>
      <c r="B36" t="s">
        <v>275</v>
      </c>
      <c r="C36" t="str">
        <f t="shared" si="3"/>
        <v>"housevalue":203300}</v>
      </c>
      <c r="D36" t="str">
        <f t="shared" ca="1" si="8"/>
        <v>"hv01":0,</v>
      </c>
      <c r="E36" t="str">
        <f t="shared" ca="1" si="8"/>
        <v>"hv02":0,</v>
      </c>
      <c r="F36" t="str">
        <f t="shared" ca="1" si="8"/>
        <v>"hv03":0,</v>
      </c>
      <c r="G36" t="str">
        <f t="shared" ca="1" si="8"/>
        <v>"hv04":0,</v>
      </c>
      <c r="H36" t="str">
        <f t="shared" ca="1" si="8"/>
        <v>"hv05":121200,</v>
      </c>
      <c r="I36" t="str">
        <f t="shared" ca="1" si="8"/>
        <v>"hv06":126700,</v>
      </c>
      <c r="J36" t="str">
        <f t="shared" ca="1" si="8"/>
        <v>"hv07":132900,</v>
      </c>
      <c r="K36" t="str">
        <f t="shared" ca="1" si="8"/>
        <v>"hv08":133400,</v>
      </c>
      <c r="L36" t="str">
        <f t="shared" ca="1" si="8"/>
        <v>"hv09":135200,</v>
      </c>
      <c r="M36" t="str">
        <f t="shared" ca="1" si="8"/>
        <v>"hv10":140800,</v>
      </c>
      <c r="N36" t="str">
        <f t="shared" ca="1" si="8"/>
        <v>"hv11":142900,</v>
      </c>
      <c r="O36" t="str">
        <f t="shared" ca="1" si="8"/>
        <v>"hv12":152900,</v>
      </c>
      <c r="P36" t="str">
        <f t="shared" ca="1" si="8"/>
        <v>"hv13":167500,</v>
      </c>
      <c r="Q36" t="str">
        <f t="shared" ca="1" si="8"/>
        <v>"hv14":179800,</v>
      </c>
      <c r="R36" t="str">
        <f t="shared" ca="1" si="8"/>
        <v>"hv15":191200,</v>
      </c>
      <c r="S36" t="str">
        <f t="shared" ca="1" si="8"/>
        <v>"hv16":199900,</v>
      </c>
      <c r="T36" t="str">
        <f t="shared" ca="1" si="9"/>
        <v>"hv17":203300}</v>
      </c>
      <c r="U36" t="str">
        <f t="shared" ca="1" si="5"/>
        <v>"hv01":0,"hv02":0,"hv03":0,"hv04":0,"hv05":121200,"hv06":126700,"hv07":132900,"hv08":133400,"hv09":135200,"hv10":140800,"hv11":142900,"hv12":152900,"hv13":167500,"hv14":179800,"hv15":191200,"hv16":199900,"hv17":203300}</v>
      </c>
      <c r="V36" t="s">
        <v>371</v>
      </c>
      <c r="X36" s="4" t="str">
        <f t="shared" si="4"/>
        <v xml:space="preserve">    {"type":"Feature","id":"38","properties":{"name":"North Dakota","hv01":0,"hv02":0,"hv03":0,"hv04":0,"hv05":121200,"hv06":126700,"hv07":132900,"hv08":133400,"hv09":135200,"hv10":140800,"hv11":142900,"hv12":152900,"hv13":167500,"hv14":179800,"hv15":191200,"hv16":199900,"hv17":203300},"geometry":{"type":"Polygon","coordinates":[[[-97.228743,49.000239],[-97.097296,48.682577],[-97.16302,48.545653],[-97.130158,48.140359],[-97.053481,47.948667],[-96.856311,47.609096],[-96.823449,46.968294],[-96.785111,46.924479],[-96.801542,46.656109],[-96.719387,46.437031],[-96.598895,46.332969],[-96.560556,45.933153],[-104.047534,45.944106],[-104.042057,47.861036],[-104.047534,49.000239],[-97.228743,49.000239]]]}},</v>
      </c>
    </row>
    <row r="37" spans="1:24" x14ac:dyDescent="0.3">
      <c r="A37" t="s">
        <v>315</v>
      </c>
      <c r="B37" t="s">
        <v>234</v>
      </c>
      <c r="C37" t="str">
        <f t="shared" si="3"/>
        <v>"housevalue":135800}</v>
      </c>
      <c r="D37" t="str">
        <f t="shared" ca="1" si="8"/>
        <v>"hv01":108900,</v>
      </c>
      <c r="E37" t="str">
        <f t="shared" ca="1" si="8"/>
        <v>"hv02":113400,</v>
      </c>
      <c r="F37" t="str">
        <f t="shared" ca="1" si="8"/>
        <v>"hv03":118100,</v>
      </c>
      <c r="G37" t="str">
        <f t="shared" ca="1" si="8"/>
        <v>"hv04":121900,</v>
      </c>
      <c r="H37" t="str">
        <f t="shared" ca="1" si="8"/>
        <v>"hv05":124600,</v>
      </c>
      <c r="I37" t="str">
        <f t="shared" ca="1" si="8"/>
        <v>"hv06":124600,</v>
      </c>
      <c r="J37" t="str">
        <f t="shared" ca="1" si="8"/>
        <v>"hv07":120500,</v>
      </c>
      <c r="K37" t="str">
        <f t="shared" ca="1" si="8"/>
        <v>"hv08":113900,</v>
      </c>
      <c r="L37" t="str">
        <f t="shared" ca="1" si="8"/>
        <v>"hv09":110000,</v>
      </c>
      <c r="M37" t="str">
        <f t="shared" ca="1" si="8"/>
        <v>"hv10":107200,</v>
      </c>
      <c r="N37" t="str">
        <f t="shared" ca="1" si="8"/>
        <v>"hv11":102400,</v>
      </c>
      <c r="O37" t="str">
        <f t="shared" ca="1" si="8"/>
        <v>"hv12":102800,</v>
      </c>
      <c r="P37" t="str">
        <f t="shared" ca="1" si="8"/>
        <v>"hv13":105900,</v>
      </c>
      <c r="Q37" t="str">
        <f t="shared" ca="1" si="8"/>
        <v>"hv14":110300,</v>
      </c>
      <c r="R37" t="str">
        <f t="shared" ca="1" si="8"/>
        <v>"hv15":114700,</v>
      </c>
      <c r="S37" t="str">
        <f t="shared" ca="1" si="8"/>
        <v>"hv16":120900,</v>
      </c>
      <c r="T37" t="str">
        <f t="shared" ca="1" si="9"/>
        <v>"hv17":129200}</v>
      </c>
      <c r="U37" t="str">
        <f t="shared" ca="1" si="5"/>
        <v>"hv01":108900,"hv02":113400,"hv03":118100,"hv04":121900,"hv05":124600,"hv06":124600,"hv07":120500,"hv08":113900,"hv09":110000,"hv10":107200,"hv11":102400,"hv12":102800,"hv13":105900,"hv14":110300,"hv15":114700,"hv16":120900,"hv17":129200}</v>
      </c>
      <c r="V37" t="s">
        <v>372</v>
      </c>
      <c r="X37" s="4" t="str">
        <f t="shared" si="4"/>
        <v xml:space="preserve">    {"type":"Feature","id":"39","properties":{"name":"Ohio","hv01":108900,"hv02":113400,"hv03":118100,"hv04":121900,"hv05":124600,"hv06":124600,"hv07":120500,"hv08":113900,"hv09":110000,"hv10":107200,"hv11":102400,"hv12":102800,"hv13":105900,"hv14":110300,"hv15":114700,"hv16":120900,"hv17":129200},"geometry":{"type":"Polygon","coordinates":[[[-80.518598,41.978802],[-80.518598,40.636951],[-80.666475,40.582182],[-80.595275,40.472643],[-80.600752,40.319289],[-80.737675,40.078303],[-80.830783,39.711348],[-81.219646,39.388209],[-81.345616,39.344393],[-81.455155,39.410117],[-81.57017,39.267716],[-81.685186,39.273193],[-81.811156,39.0815],[-81.783771,38.966484],[-81.887833,38.873376],[-82.03571,39.026731],[-82.221926,38.785745],[-82.172634,38.632391],[-82.293127,38.577622],[-82.331465,38.446175],[-82.594358,38.424267],[-82.731282,38.561191],[-82.846298,38.588575],[-82.890113,38.758361],[-83.032514,38.725499],[-83.142052,38.626914],[-83.519961,38.703591],[-83.678792,38.632391],[-83.903347,38.769315],[-84.215533,38.807653],[-84.231963,38.895284],[-84.43461,39.103408],[-84.817996,39.103408],[-84.801565,40.500028],[-84.807042,41.694001],[-83.454238,41.732339],[-83.065375,41.595416],[-82.933929,41.513262],[-82.835344,41.589939],[-82.616266,41.431108],[-82.479343,41.381815],[-82.013803,41.513262],[-81.739956,41.485877],[-81.444201,41.672093],[-81.011523,41.852832],[-80.518598,41.978802],[-80.518598,41.978802]]]}},</v>
      </c>
    </row>
    <row r="38" spans="1:24" x14ac:dyDescent="0.3">
      <c r="A38" t="s">
        <v>316</v>
      </c>
      <c r="B38" t="s">
        <v>255</v>
      </c>
      <c r="C38" t="str">
        <f t="shared" si="3"/>
        <v>"housevalue":120600}</v>
      </c>
      <c r="D38" t="str">
        <f t="shared" ca="1" si="8"/>
        <v>"hv01":71500,</v>
      </c>
      <c r="E38" t="str">
        <f t="shared" ca="1" si="8"/>
        <v>"hv02":75700,</v>
      </c>
      <c r="F38" t="str">
        <f t="shared" ca="1" si="8"/>
        <v>"hv03":78800,</v>
      </c>
      <c r="G38" t="str">
        <f t="shared" ca="1" si="8"/>
        <v>"hv04":82600,</v>
      </c>
      <c r="H38" t="str">
        <f t="shared" ca="1" si="8"/>
        <v>"hv05":86000,</v>
      </c>
      <c r="I38" t="str">
        <f t="shared" ca="1" si="8"/>
        <v>"hv06":90200,</v>
      </c>
      <c r="J38" t="str">
        <f t="shared" ca="1" si="8"/>
        <v>"hv07":93300,</v>
      </c>
      <c r="K38" t="str">
        <f t="shared" ca="1" si="8"/>
        <v>"hv08":94500,</v>
      </c>
      <c r="L38" t="str">
        <f t="shared" ca="1" si="8"/>
        <v>"hv09":96400,</v>
      </c>
      <c r="M38" t="str">
        <f t="shared" ca="1" si="8"/>
        <v>"hv10":95400,</v>
      </c>
      <c r="N38" t="str">
        <f t="shared" ca="1" si="8"/>
        <v>"hv11":93100,</v>
      </c>
      <c r="O38" t="str">
        <f t="shared" ca="1" si="8"/>
        <v>"hv12":93200,</v>
      </c>
      <c r="P38" t="str">
        <f t="shared" ca="1" si="8"/>
        <v>"hv13":94300,</v>
      </c>
      <c r="Q38" t="str">
        <f t="shared" ca="1" si="8"/>
        <v>"hv14":96000,</v>
      </c>
      <c r="R38" t="str">
        <f t="shared" ca="1" si="8"/>
        <v>"hv15":100300,</v>
      </c>
      <c r="S38" t="str">
        <f t="shared" ca="1" si="8"/>
        <v>"hv16":110000,</v>
      </c>
      <c r="T38" t="str">
        <f t="shared" ca="1" si="9"/>
        <v>"hv17":116400}</v>
      </c>
      <c r="U38" t="str">
        <f t="shared" ca="1" si="5"/>
        <v>"hv01":71500,"hv02":75700,"hv03":78800,"hv04":82600,"hv05":86000,"hv06":90200,"hv07":93300,"hv08":94500,"hv09":96400,"hv10":95400,"hv11":93100,"hv12":93200,"hv13":94300,"hv14":96000,"hv15":100300,"hv16":110000,"hv17":116400}</v>
      </c>
      <c r="V38" t="s">
        <v>373</v>
      </c>
      <c r="X38" s="4" t="str">
        <f t="shared" si="4"/>
        <v xml:space="preserve">    {"type":"Feature","id":"40","properties":{"name":"Oklahoma","hv01":71500,"hv02":75700,"hv03":78800,"hv04":82600,"hv05":86000,"hv06":90200,"hv07":93300,"hv08":94500,"hv09":96400,"hv10":95400,"hv11":93100,"hv12":93200,"hv13":94300,"hv14":96000,"hv15":100300,"hv16":110000,"hv17":116400},"geometry":{"type":"Polygon","coordinates":[[[-100.087706,37.000263],[-94.616242,37.000263],[-94.616242,36.501861],[-94.430026,35.395519],[-94.484796,33.637421],[-94.868182,33.74696],[-94.966767,33.861976],[-95.224183,33.960561],[-95.289906,33.87293],[-95.547322,33.878407],[-95.602092,33.933176],[-95.8376,33.834591],[-95.936185,33.889361],[-96.149786,33.840068],[-96.346956,33.686714],[-96.423633,33.774345],[-96.631756,33.845545],[-96.850834,33.845545],[-96.922034,33.960561],[-97.173974,33.736006],[-97.256128,33.861976],[-97.371143,33.823637],[-97.458774,33.905791],[-97.694283,33.982469],[-97.869545,33.851022],[-97.946222,33.987946],[-98.088623,34.004376],[-98.170777,34.113915],[-98.36247,34.157731],[-98.488439,34.064623],[-98.570593,34.146777],[-98.767763,34.135823],[-98.986841,34.223454],[-99.189488,34.2125],[-99.260688,34.404193],[-99.57835,34.415147],[-99.698843,34.382285],[-99.923398,34.573978],[-100.000075,34.563024],[-100.000075,36.501861],[-101.812942,36.501861],[-103.001438,36.501861],[-103.001438,37.000263],[-102.042974,36.994786],[-100.087706,37.000263]]]}},</v>
      </c>
    </row>
    <row r="39" spans="1:24" x14ac:dyDescent="0.3">
      <c r="A39" t="s">
        <v>317</v>
      </c>
      <c r="B39" t="s">
        <v>254</v>
      </c>
      <c r="C39" t="str">
        <f t="shared" si="3"/>
        <v>"housevalue":338300}</v>
      </c>
      <c r="D39" t="str">
        <f t="shared" ca="1" si="8"/>
        <v>"hv01":153300,</v>
      </c>
      <c r="E39" t="str">
        <f t="shared" ca="1" si="8"/>
        <v>"hv02":161000,</v>
      </c>
      <c r="F39" t="str">
        <f t="shared" ca="1" si="8"/>
        <v>"hv03":171500,</v>
      </c>
      <c r="G39" t="str">
        <f t="shared" ca="1" si="8"/>
        <v>"hv04":193000,</v>
      </c>
      <c r="H39" t="str">
        <f t="shared" ca="1" si="8"/>
        <v>"hv05":240300,</v>
      </c>
      <c r="I39" t="str">
        <f t="shared" ca="1" si="8"/>
        <v>"hv06":264600,</v>
      </c>
      <c r="J39" t="str">
        <f t="shared" ca="1" si="8"/>
        <v>"hv07":260700,</v>
      </c>
      <c r="K39" t="str">
        <f t="shared" ca="1" si="8"/>
        <v>"hv08":239200,</v>
      </c>
      <c r="L39" t="str">
        <f t="shared" ca="1" si="8"/>
        <v>"hv09":222400,</v>
      </c>
      <c r="M39" t="str">
        <f t="shared" ca="1" si="8"/>
        <v>"hv10":204700,</v>
      </c>
      <c r="N39" t="str">
        <f t="shared" ca="1" si="8"/>
        <v>"hv11":191600,</v>
      </c>
      <c r="O39" t="str">
        <f t="shared" ca="1" si="8"/>
        <v>"hv12":199500,</v>
      </c>
      <c r="P39" t="str">
        <f t="shared" ca="1" si="8"/>
        <v>"hv13":221500,</v>
      </c>
      <c r="Q39" t="str">
        <f t="shared" ca="1" si="8"/>
        <v>"hv14":238100,</v>
      </c>
      <c r="R39" t="str">
        <f t="shared" ca="1" si="8"/>
        <v>"hv15":265100,</v>
      </c>
      <c r="S39" t="str">
        <f t="shared" ca="1" si="8"/>
        <v>"hv16":299500,</v>
      </c>
      <c r="T39" t="str">
        <f t="shared" ca="1" si="9"/>
        <v>"hv17":323000}</v>
      </c>
      <c r="U39" t="str">
        <f t="shared" ca="1" si="5"/>
        <v>"hv01":153300,"hv02":161000,"hv03":171500,"hv04":193000,"hv05":240300,"hv06":264600,"hv07":260700,"hv08":239200,"hv09":222400,"hv10":204700,"hv11":191600,"hv12":199500,"hv13":221500,"hv14":238100,"hv15":265100,"hv16":299500,"hv17":323000}</v>
      </c>
      <c r="V39" t="s">
        <v>374</v>
      </c>
      <c r="X39" s="4" t="str">
        <f t="shared" si="4"/>
        <v xml:space="preserve">    {"type":"Feature","id":"41","properties":{"name":"Oregon","hv01":153300,"hv02":161000,"hv03":171500,"hv04":193000,"hv05":240300,"hv06":264600,"hv07":260700,"hv08":239200,"hv09":222400,"hv10":204700,"hv11":191600,"hv12":199500,"hv13":221500,"hv14":238100,"hv15":265100,"hv16":299500,"hv17":323000},"geometry":{"type":"Polygon","coordinates":[[[-123.211348,46.174138],[-123.11824,46.185092],[-122.904639,46.08103],[-122.811531,45.960537],[-122.762239,45.659305],[-122.247407,45.549767],[-121.809251,45.708598],[-121.535404,45.725029],[-121.217742,45.670259],[-121.18488,45.604536],[-120.637186,45.746937],[-120.505739,45.697644],[-120.209985,45.725029],[-119.963522,45.823614],[-119.525367,45.911245],[-119.125551,45.933153],[-118.988627,45.998876],[-116.918344,45.993399],[-116.78142,45.823614],[-116.545912,45.752413],[-116.463758,45.61549],[-116.671881,45.319735],[-116.732128,45.144473],[-116.847143,45.02398],[-116.830713,44.930872],[-116.934774,44.782995],[-117.038836,44.750133],[-117.241483,44.394132],[-117.170283,44.257209],[-116.97859,44.240778],[-116.896436,44.158624],[-117.027882,43.830007],[-117.027882,42.000709],[-118.698349,41.989755],[-120.001861,41.995232],[-121.037003,41.995232],[-122.378853,42.011663],[-123.233256,42.006186],[-124.213628,42.000709],[-124.356029,42.115725],[-124.432706,42.438865],[-124.416275,42.663419],[-124.553198,42.838681],[-124.454613,43.002989],[-124.383413,43.271359],[-124.235536,43.55616],[-124.169813,43.8081],[-124.060274,44.657025],[-124.076705,44.772041],[-123.97812,45.144473],[-123.939781,45.659305],[-123.994551,45.944106],[-123.945258,46.113892],[-123.545441,46.261769],[-123.370179,46.146753],[-123.211348,46.174138]]]}},</v>
      </c>
    </row>
    <row r="40" spans="1:24" x14ac:dyDescent="0.3">
      <c r="A40" t="s">
        <v>318</v>
      </c>
      <c r="B40" t="s">
        <v>233</v>
      </c>
      <c r="C40" t="str">
        <f t="shared" si="3"/>
        <v>"housevalue":170500}</v>
      </c>
      <c r="D40" t="str">
        <f t="shared" ca="1" si="8"/>
        <v>"hv01":101400,</v>
      </c>
      <c r="E40" t="str">
        <f t="shared" ca="1" si="8"/>
        <v>"hv02":109300,</v>
      </c>
      <c r="F40" t="str">
        <f t="shared" ca="1" si="8"/>
        <v>"hv03":121100,</v>
      </c>
      <c r="G40" t="str">
        <f t="shared" ca="1" si="8"/>
        <v>"hv04":134000,</v>
      </c>
      <c r="H40" t="str">
        <f t="shared" ca="1" si="8"/>
        <v>"hv05":146600,</v>
      </c>
      <c r="I40" t="str">
        <f t="shared" ca="1" si="8"/>
        <v>"hv06":155000,</v>
      </c>
      <c r="J40" t="str">
        <f t="shared" ca="1" si="8"/>
        <v>"hv07":156900,</v>
      </c>
      <c r="K40" t="str">
        <f t="shared" ca="1" si="8"/>
        <v>"hv08":152500,</v>
      </c>
      <c r="L40" t="str">
        <f t="shared" ca="1" si="8"/>
        <v>"hv09":149900,</v>
      </c>
      <c r="M40" t="str">
        <f t="shared" ca="1" si="8"/>
        <v>"hv10":146200,</v>
      </c>
      <c r="N40" t="str">
        <f t="shared" ca="1" si="8"/>
        <v>"hv11":140100,</v>
      </c>
      <c r="O40" t="str">
        <f t="shared" ca="1" si="8"/>
        <v>"hv12":139700,</v>
      </c>
      <c r="P40" t="str">
        <f t="shared" ca="1" si="8"/>
        <v>"hv13":141900,</v>
      </c>
      <c r="Q40" t="str">
        <f t="shared" ca="1" si="8"/>
        <v>"hv14":144600,</v>
      </c>
      <c r="R40" t="str">
        <f t="shared" ca="1" si="8"/>
        <v>"hv15":148300,</v>
      </c>
      <c r="S40" t="str">
        <f t="shared" ca="1" si="8"/>
        <v>"hv16":154500,</v>
      </c>
      <c r="T40" t="str">
        <f t="shared" ca="1" si="9"/>
        <v>"hv17":163300}</v>
      </c>
      <c r="U40" t="str">
        <f t="shared" ca="1" si="5"/>
        <v>"hv01":101400,"hv02":109300,"hv03":121100,"hv04":134000,"hv05":146600,"hv06":155000,"hv07":156900,"hv08":152500,"hv09":149900,"hv10":146200,"hv11":140100,"hv12":139700,"hv13":141900,"hv14":144600,"hv15":148300,"hv16":154500,"hv17":163300}</v>
      </c>
      <c r="V40" t="s">
        <v>375</v>
      </c>
      <c r="X40" s="4" t="str">
        <f t="shared" si="4"/>
        <v xml:space="preserve">    {"type":"Feature","id":"42","properties":{"name":"Pennsylvania","hv01":101400,"hv02":109300,"hv03":121100,"hv04":134000,"hv05":146600,"hv06":155000,"hv07":156900,"hv08":152500,"hv09":149900,"hv10":146200,"hv11":140100,"hv12":139700,"hv13":141900,"hv14":144600,"hv15":148300,"hv16":154500,"hv17":163300},"geometry":{"type":"Polygon","coordinates":[[[-79.76278,42.252649],[-79.76278,42.000709],[-75.35932,42.000709],[-75.249781,41.863786],[-75.173104,41.869263],[-75.052611,41.754247],[-75.074519,41.60637],[-74.89378,41.436584],[-74.740426,41.431108],[-74.69661,41.359907],[-74.828057,41.288707],[-74.882826,41.179168],[-75.134765,40.971045],[-75.052611,40.866983],[-75.205966,40.691721],[-75.195012,40.576705],[-75.069042,40.543843],[-75.058088,40.417874],[-74.773287,40.215227],[-74.82258,40.127596],[-75.129289,39.963288],[-75.145719,39.88661],[-75.414089,39.804456],[-75.616736,39.831841],[-75.786521,39.722302],[-79.477979,39.722302],[-80.518598,39.722302],[-80.518598,40.636951],[-80.518598,41.978802],[-80.518598,41.978802],[-80.332382,42.033571],[-79.76278,42.269079],[-79.76278,42.252649]]]}},</v>
      </c>
    </row>
    <row r="41" spans="1:24" x14ac:dyDescent="0.3">
      <c r="A41" t="s">
        <v>319</v>
      </c>
      <c r="B41" t="s">
        <v>270</v>
      </c>
      <c r="C41" t="str">
        <f t="shared" si="3"/>
        <v>"housevalue":276000}</v>
      </c>
      <c r="D41" t="str">
        <f t="shared" ca="1" si="8"/>
        <v>"hv01":168800,</v>
      </c>
      <c r="E41" t="str">
        <f t="shared" ca="1" si="8"/>
        <v>"hv02":203700,</v>
      </c>
      <c r="F41" t="str">
        <f t="shared" ca="1" si="8"/>
        <v>"hv03":245600,</v>
      </c>
      <c r="G41" t="str">
        <f t="shared" ca="1" si="8"/>
        <v>"hv04":281900,</v>
      </c>
      <c r="H41" t="str">
        <f t="shared" ca="1" si="8"/>
        <v>"hv05":296500,</v>
      </c>
      <c r="I41" t="str">
        <f t="shared" ca="1" si="8"/>
        <v>"hv06":288400,</v>
      </c>
      <c r="J41" t="str">
        <f t="shared" ca="1" si="8"/>
        <v>"hv07":271300,</v>
      </c>
      <c r="K41" t="str">
        <f t="shared" ca="1" si="8"/>
        <v>"hv08":240300,</v>
      </c>
      <c r="L41" t="str">
        <f t="shared" ca="1" si="8"/>
        <v>"hv09":225200,</v>
      </c>
      <c r="M41" t="str">
        <f t="shared" ca="1" si="8"/>
        <v>"hv10":221500,</v>
      </c>
      <c r="N41" t="str">
        <f t="shared" ca="1" si="8"/>
        <v>"hv11":202900,</v>
      </c>
      <c r="O41" t="str">
        <f t="shared" ca="1" si="8"/>
        <v>"hv12":206700,</v>
      </c>
      <c r="P41" t="str">
        <f t="shared" ca="1" si="8"/>
        <v>"hv13":212300,</v>
      </c>
      <c r="Q41" t="str">
        <f t="shared" ca="1" si="8"/>
        <v>"hv14":219900,</v>
      </c>
      <c r="R41" t="str">
        <f t="shared" ca="1" si="8"/>
        <v>"hv15":227500,</v>
      </c>
      <c r="S41" t="str">
        <f t="shared" ca="1" si="8"/>
        <v>"hv16":243500,</v>
      </c>
      <c r="T41" t="str">
        <f t="shared" ca="1" si="9"/>
        <v>"hv17":265500}</v>
      </c>
      <c r="U41" t="str">
        <f t="shared" ca="1" si="5"/>
        <v>"hv01":168800,"hv02":203700,"hv03":245600,"hv04":281900,"hv05":296500,"hv06":288400,"hv07":271300,"hv08":240300,"hv09":225200,"hv10":221500,"hv11":202900,"hv12":206700,"hv13":212300,"hv14":219900,"hv15":227500,"hv16":243500,"hv17":265500}</v>
      </c>
      <c r="V41" t="s">
        <v>376</v>
      </c>
      <c r="X41" s="4" t="str">
        <f t="shared" si="4"/>
        <v xml:space="preserve">    {"type":"Feature","id":"44","properties":{"name":"Rhode Island","hv01":168800,"hv02":203700,"hv03":245600,"hv04":281900,"hv05":296500,"hv06":288400,"hv07":271300,"hv08":240300,"hv09":225200,"hv10":221500,"hv11":202900,"hv12":206700,"hv13":212300,"hv14":219900,"hv15":227500,"hv16":243500,"hv17":265500},"geometry":{"type":"MultiPolygon","coordinates":[[[[-71.196845,41.67757],[-71.120168,41.496831],[-71.317338,41.474923],[-71.196845,41.67757]]],[[[-71.530939,42.01714],[-71.383061,42.01714],[-71.328292,41.781632],[-71.22423,41.710431],[-71.344723,41.726862],[-71.448785,41.578985],[-71.481646,41.370861],[-71.859555,41.321569],[-71.799309,41.414677],[-71.799309,42.006186],[-71.530939,42.01714]]]]}},</v>
      </c>
    </row>
    <row r="42" spans="1:24" x14ac:dyDescent="0.3">
      <c r="A42" t="s">
        <v>320</v>
      </c>
      <c r="B42" t="s">
        <v>251</v>
      </c>
      <c r="C42" t="str">
        <f t="shared" si="3"/>
        <v>"housevalue":161800}</v>
      </c>
      <c r="D42" t="str">
        <f t="shared" ref="D42:S52" ca="1" si="10">CHAR(34)&amp;D$56&amp;CHAR(34)&amp;":"&amp;INDIRECT("HV_RAW_VALUE!"&amp;D$1&amp;ROW($A42))&amp;","</f>
        <v>"hv01":105500,</v>
      </c>
      <c r="E42" t="str">
        <f t="shared" ca="1" si="10"/>
        <v>"hv02":109200,</v>
      </c>
      <c r="F42" t="str">
        <f t="shared" ca="1" si="10"/>
        <v>"hv03":114700,</v>
      </c>
      <c r="G42" t="str">
        <f t="shared" ca="1" si="10"/>
        <v>"hv04":123000,</v>
      </c>
      <c r="H42" t="str">
        <f t="shared" ca="1" si="10"/>
        <v>"hv05":133700,</v>
      </c>
      <c r="I42" t="str">
        <f t="shared" ca="1" si="10"/>
        <v>"hv06":143800,</v>
      </c>
      <c r="J42" t="str">
        <f t="shared" ca="1" si="10"/>
        <v>"hv07":143200,</v>
      </c>
      <c r="K42" t="str">
        <f t="shared" ca="1" si="10"/>
        <v>"hv08":137100,</v>
      </c>
      <c r="L42" t="str">
        <f t="shared" ca="1" si="10"/>
        <v>"hv09":131700,</v>
      </c>
      <c r="M42" t="str">
        <f t="shared" ca="1" si="10"/>
        <v>"hv10":126600,</v>
      </c>
      <c r="N42" t="str">
        <f t="shared" ca="1" si="10"/>
        <v>"hv11":121100,</v>
      </c>
      <c r="O42" t="str">
        <f t="shared" ca="1" si="10"/>
        <v>"hv12":121500,</v>
      </c>
      <c r="P42" t="str">
        <f t="shared" ca="1" si="10"/>
        <v>"hv13":125100,</v>
      </c>
      <c r="Q42" t="str">
        <f t="shared" ca="1" si="10"/>
        <v>"hv14":126800,</v>
      </c>
      <c r="R42" t="str">
        <f t="shared" ca="1" si="10"/>
        <v>"hv15":132400,</v>
      </c>
      <c r="S42" t="str">
        <f t="shared" ca="1" si="10"/>
        <v>"hv16":144400,</v>
      </c>
      <c r="T42" t="str">
        <f t="shared" ca="1" si="9"/>
        <v>"hv17":153100}</v>
      </c>
      <c r="U42" t="str">
        <f t="shared" ca="1" si="5"/>
        <v>"hv01":105500,"hv02":109200,"hv03":114700,"hv04":123000,"hv05":133700,"hv06":143800,"hv07":143200,"hv08":137100,"hv09":131700,"hv10":126600,"hv11":121100,"hv12":121500,"hv13":125100,"hv14":126800,"hv15":132400,"hv16":144400,"hv17":153100}</v>
      </c>
      <c r="V42" t="s">
        <v>377</v>
      </c>
      <c r="X42" s="4" t="str">
        <f t="shared" si="4"/>
        <v xml:space="preserve">    {"type":"Feature","id":"45","properties":{"name":"South Carolina","hv01":105500,"hv02":109200,"hv03":114700,"hv04":123000,"hv05":133700,"hv06":143800,"hv07":143200,"hv08":137100,"hv09":131700,"hv10":126600,"hv11":121100,"hv12":121500,"hv13":125100,"hv14":126800,"hv15":132400,"hv16":144400,"hv17":153100},"geometry":{"type":"Polygon","coordinates":[[[-82.764143,35.066903],[-82.550543,35.160011],[-82.276696,35.198349],[-81.044384,35.149057],[-81.038907,35.044995],[-80.934845,35.105241],[-80.781491,34.935456],[-80.797922,34.820441],[-79.675149,34.80401],[-78.541422,33.851022],[-78.716684,33.80173],[-78.935762,33.637421],[-79.149363,33.380005],[-79.187701,33.171881],[-79.357487,33.007573],[-79.582041,33.007573],[-79.631334,32.887081],[-79.866842,32.755634],[-79.998289,32.613234],[-80.206412,32.552987],[-80.430967,32.399633],[-80.452875,32.328433],[-80.660998,32.246279],[-80.885553,32.032678],[-81.115584,32.120309],[-81.121061,32.290094],[-81.279893,32.558464],[-81.416816,32.629664],[-81.42777,32.843265],[-81.493493,33.007573],[-81.761863,33.160928],[-81.937125,33.347144],[-81.926172,33.462159],[-82.194542,33.631944],[-82.325988,33.81816],[-82.55602,33.94413],[-82.714851,34.152254],[-82.747713,34.26727],[-82.901067,34.486347],[-83.005129,34.469916],[-83.339222,34.683517],[-83.322791,34.787579],[-83.109191,35.00118],[-82.764143,35.066903]]]}},</v>
      </c>
    </row>
    <row r="43" spans="1:24" x14ac:dyDescent="0.3">
      <c r="A43" t="s">
        <v>321</v>
      </c>
      <c r="B43" t="s">
        <v>273</v>
      </c>
      <c r="C43" t="str">
        <f t="shared" si="3"/>
        <v>"housevalue":183200}</v>
      </c>
      <c r="D43" t="str">
        <f t="shared" ca="1" si="10"/>
        <v>"hv01":96600,</v>
      </c>
      <c r="E43" t="str">
        <f t="shared" ca="1" si="10"/>
        <v>"hv02":102400,</v>
      </c>
      <c r="F43" t="str">
        <f t="shared" ca="1" si="10"/>
        <v>"hv03":103800,</v>
      </c>
      <c r="G43" t="str">
        <f t="shared" ca="1" si="10"/>
        <v>"hv04":120400,</v>
      </c>
      <c r="H43" t="str">
        <f t="shared" ca="1" si="10"/>
        <v>"hv05":130800,</v>
      </c>
      <c r="I43" t="str">
        <f t="shared" ca="1" si="10"/>
        <v>"hv06":138300,</v>
      </c>
      <c r="J43" t="str">
        <f t="shared" ca="1" si="10"/>
        <v>"hv07":138900,</v>
      </c>
      <c r="K43" t="str">
        <f t="shared" ca="1" si="10"/>
        <v>"hv08":140300,</v>
      </c>
      <c r="L43" t="str">
        <f t="shared" ca="1" si="10"/>
        <v>"hv09":139900,</v>
      </c>
      <c r="M43" t="str">
        <f t="shared" ca="1" si="10"/>
        <v>"hv10":140100,</v>
      </c>
      <c r="N43" t="str">
        <f t="shared" ca="1" si="10"/>
        <v>"hv11":137700,</v>
      </c>
      <c r="O43" t="str">
        <f t="shared" ca="1" si="10"/>
        <v>"hv12":141800,</v>
      </c>
      <c r="P43" t="str">
        <f t="shared" ca="1" si="10"/>
        <v>"hv13":146300,</v>
      </c>
      <c r="Q43" t="str">
        <f t="shared" ca="1" si="10"/>
        <v>"hv14":151400,</v>
      </c>
      <c r="R43" t="str">
        <f t="shared" ca="1" si="10"/>
        <v>"hv15":160700,</v>
      </c>
      <c r="S43" t="str">
        <f t="shared" ca="1" si="10"/>
        <v>"hv16":168300,</v>
      </c>
      <c r="T43" t="str">
        <f t="shared" ca="1" si="9"/>
        <v>"hv17":176200}</v>
      </c>
      <c r="U43" t="str">
        <f t="shared" ca="1" si="5"/>
        <v>"hv01":96600,"hv02":102400,"hv03":103800,"hv04":120400,"hv05":130800,"hv06":138300,"hv07":138900,"hv08":140300,"hv09":139900,"hv10":140100,"hv11":137700,"hv12":141800,"hv13":146300,"hv14":151400,"hv15":160700,"hv16":168300,"hv17":176200}</v>
      </c>
      <c r="V43" t="s">
        <v>378</v>
      </c>
      <c r="X43" s="4" t="str">
        <f t="shared" si="4"/>
        <v xml:space="preserve">    {"type":"Feature","id":"46","properties":{"name":"South Dakota","hv01":96600,"hv02":102400,"hv03":103800,"hv04":120400,"hv05":130800,"hv06":138300,"hv07":138900,"hv08":140300,"hv09":139900,"hv10":140100,"hv11":137700,"hv12":141800,"hv13":146300,"hv14":151400,"hv15":160700,"hv16":168300,"hv17":176200},"geometry":{"type":"Polygon","coordinates":[[[-104.047534,45.944106],[-96.560556,45.933153],[-96.582464,45.818137],[-96.856311,45.604536],[-96.681049,45.412843],[-96.451017,45.297827],[-96.451017,43.501391],[-96.582464,43.479483],[-96.527695,43.397329],[-96.560556,43.222067],[-96.434587,43.123482],[-96.511264,43.052282],[-96.544125,42.855112],[-96.631756,42.707235],[-96.44554,42.488157],[-96.626279,42.515542],[-96.692003,42.657942],[-97.217789,42.844158],[-97.688806,42.844158],[-97.831206,42.866066],[-97.951699,42.767481],[-98.466531,42.94822],[-98.499393,42.997512],[-101.626726,42.997512],[-103.324578,43.002989],[-104.053011,43.002989],[-104.058488,44.996596],[-104.042057,44.996596],[-104.047534,45.944106]]]}},</v>
      </c>
    </row>
    <row r="44" spans="1:24" x14ac:dyDescent="0.3">
      <c r="A44" t="s">
        <v>322</v>
      </c>
      <c r="B44" t="s">
        <v>244</v>
      </c>
      <c r="C44" t="str">
        <f t="shared" si="3"/>
        <v>"housevalue":162000}</v>
      </c>
      <c r="D44" t="str">
        <f t="shared" ca="1" si="10"/>
        <v>"hv01":90700,</v>
      </c>
      <c r="E44" t="str">
        <f t="shared" ca="1" si="10"/>
        <v>"hv02":93600,</v>
      </c>
      <c r="F44" t="str">
        <f t="shared" ca="1" si="10"/>
        <v>"hv03":97500,</v>
      </c>
      <c r="G44" t="str">
        <f t="shared" ca="1" si="10"/>
        <v>"hv04":104600,</v>
      </c>
      <c r="H44" t="str">
        <f t="shared" ca="1" si="10"/>
        <v>"hv05":115200,</v>
      </c>
      <c r="I44" t="str">
        <f t="shared" ca="1" si="10"/>
        <v>"hv06":122900,</v>
      </c>
      <c r="J44" t="str">
        <f t="shared" ca="1" si="10"/>
        <v>"hv07":125000,</v>
      </c>
      <c r="K44" t="str">
        <f t="shared" ca="1" si="10"/>
        <v>"hv08":121200,</v>
      </c>
      <c r="L44" t="str">
        <f t="shared" ca="1" si="10"/>
        <v>"hv09":118000,</v>
      </c>
      <c r="M44" t="str">
        <f t="shared" ca="1" si="10"/>
        <v>"hv10":115200,</v>
      </c>
      <c r="N44" t="str">
        <f t="shared" ca="1" si="10"/>
        <v>"hv11":111600,</v>
      </c>
      <c r="O44" t="str">
        <f t="shared" ca="1" si="10"/>
        <v>"hv12":112000,</v>
      </c>
      <c r="P44" t="str">
        <f t="shared" ca="1" si="10"/>
        <v>"hv13":116500,</v>
      </c>
      <c r="Q44" t="str">
        <f t="shared" ca="1" si="10"/>
        <v>"hv14":121700,</v>
      </c>
      <c r="R44" t="str">
        <f t="shared" ca="1" si="10"/>
        <v>"hv15":129100,</v>
      </c>
      <c r="S44" t="str">
        <f t="shared" ca="1" si="10"/>
        <v>"hv16":139900,</v>
      </c>
      <c r="T44" t="str">
        <f t="shared" ca="1" si="9"/>
        <v>"hv17":151100}</v>
      </c>
      <c r="U44" t="str">
        <f t="shared" ca="1" si="5"/>
        <v>"hv01":90700,"hv02":93600,"hv03":97500,"hv04":104600,"hv05":115200,"hv06":122900,"hv07":125000,"hv08":121200,"hv09":118000,"hv10":115200,"hv11":111600,"hv12":112000,"hv13":116500,"hv14":121700,"hv15":129100,"hv16":139900,"hv17":151100}</v>
      </c>
      <c r="V44" t="s">
        <v>379</v>
      </c>
      <c r="X44" s="4" t="str">
        <f t="shared" si="4"/>
        <v xml:space="preserve">    {"type":"Feature","id":"47","properties":{"name":"Tennessee","hv01":90700,"hv02":93600,"hv03":97500,"hv04":104600,"hv05":115200,"hv06":122900,"hv07":125000,"hv08":121200,"hv09":118000,"hv10":115200,"hv11":111600,"hv12":112000,"hv13":116500,"hv14":121700,"hv15":129100,"hv16":139900,"hv17":151100},"geometry":{"type":"Polygon","coordinates":[[[-88.054868,36.496384],[-88.071299,36.677123],[-87.852221,36.633308],[-86.592525,36.655216],[-85.486183,36.616877],[-85.289013,36.627831],[-84.544149,36.594969],[-83.689746,36.584015],[-83.673316,36.600446],[-81.679709,36.589492],[-81.723525,36.353984],[-81.909741,36.304691],[-82.03571,36.118475],[-82.216449,36.156814],[-82.610789,35.965121],[-82.638174,36.063706],[-82.775097,35.997983],[-82.994175,35.773428],[-83.251591,35.718659],[-83.498053,35.565304],[-83.7719,35.559827],[-84.018363,35.41195],[-84.09504,35.247642],[-84.29221,35.225734],[-84.319594,34.990226],[-85.606675,34.984749],[-87.359296,35.00118],[-88.202745,34.995703],[-88.471115,34.995703],[-90.311367,34.995703],[-90.212782,35.023087],[-90.114197,35.198349],[-90.130628,35.439335],[-89.944412,35.603643],[-89.911551,35.756997],[-89.763673,35.811767],[-89.730812,35.997983],[-89.533642,36.249922],[-89.539119,36.496384],[-89.484349,36.496384],[-89.418626,36.496384],[-89.298133,36.507338],[-88.054868,36.496384]]]}},</v>
      </c>
    </row>
    <row r="45" spans="1:24" x14ac:dyDescent="0.3">
      <c r="A45" t="s">
        <v>323</v>
      </c>
      <c r="B45" t="s">
        <v>229</v>
      </c>
      <c r="C45" t="str">
        <f t="shared" si="3"/>
        <v>"housevalue":188700}</v>
      </c>
      <c r="D45" t="str">
        <f t="shared" ca="1" si="10"/>
        <v>"hv01":110700,</v>
      </c>
      <c r="E45" t="str">
        <f t="shared" ca="1" si="10"/>
        <v>"hv02":115100,</v>
      </c>
      <c r="F45" t="str">
        <f t="shared" ca="1" si="10"/>
        <v>"hv03":117800,</v>
      </c>
      <c r="G45" t="str">
        <f t="shared" ca="1" si="10"/>
        <v>"hv04":126500,</v>
      </c>
      <c r="H45" t="str">
        <f t="shared" ca="1" si="10"/>
        <v>"hv05":129800,</v>
      </c>
      <c r="I45" t="str">
        <f t="shared" ca="1" si="10"/>
        <v>"hv06":134800,</v>
      </c>
      <c r="J45" t="str">
        <f t="shared" ca="1" si="10"/>
        <v>"hv07":138900,</v>
      </c>
      <c r="K45" t="str">
        <f t="shared" ca="1" si="10"/>
        <v>"hv08":132700,</v>
      </c>
      <c r="L45" t="str">
        <f t="shared" ca="1" si="10"/>
        <v>"hv09":130900,</v>
      </c>
      <c r="M45" t="str">
        <f t="shared" ca="1" si="10"/>
        <v>"hv10":128900,</v>
      </c>
      <c r="N45" t="str">
        <f t="shared" ca="1" si="10"/>
        <v>"hv11":125900,</v>
      </c>
      <c r="O45" t="str">
        <f t="shared" ca="1" si="10"/>
        <v>"hv12":127600,</v>
      </c>
      <c r="P45" t="str">
        <f t="shared" ca="1" si="10"/>
        <v>"hv13":133400,</v>
      </c>
      <c r="Q45" t="str">
        <f t="shared" ca="1" si="10"/>
        <v>"hv14":141000,</v>
      </c>
      <c r="R45" t="str">
        <f t="shared" ca="1" si="10"/>
        <v>"hv15":151000,</v>
      </c>
      <c r="S45" t="str">
        <f t="shared" ca="1" si="10"/>
        <v>"hv16":167500,</v>
      </c>
      <c r="T45" t="str">
        <f t="shared" ca="1" si="9"/>
        <v>"hv17":179500}</v>
      </c>
      <c r="U45" t="str">
        <f t="shared" ca="1" si="5"/>
        <v>"hv01":110700,"hv02":115100,"hv03":117800,"hv04":126500,"hv05":129800,"hv06":134800,"hv07":138900,"hv08":132700,"hv09":130900,"hv10":128900,"hv11":125900,"hv12":127600,"hv13":133400,"hv14":141000,"hv15":151000,"hv16":167500,"hv17":179500}</v>
      </c>
      <c r="V45" t="s">
        <v>380</v>
      </c>
      <c r="X45" s="4" t="str">
        <f t="shared" si="4"/>
        <v xml:space="preserve">    {"type":"Feature","id":"48","properties":{"name":"Texas","hv01":110700,"hv02":115100,"hv03":117800,"hv04":126500,"hv05":129800,"hv06":134800,"hv07":138900,"hv08":132700,"hv09":130900,"hv10":128900,"hv11":125900,"hv12":127600,"hv13":133400,"hv14":141000,"hv15":151000,"hv16":167500,"hv17":179500},"geometry":{"type":"Polygon","coordinates":[[[-101.812942,36.501861],[-100.000075,36.501861],[-100.000075,34.563024],[-99.923398,34.573978],[-99.698843,34.382285],[-99.57835,34.415147],[-99.260688,34.404193],[-99.189488,34.2125],[-98.986841,34.223454],[-98.767763,34.135823],[-98.570593,34.146777],[-98.488439,34.064623],[-98.36247,34.157731],[-98.170777,34.113915],[-98.088623,34.004376],[-97.946222,33.987946],[-97.869545,33.851022],[-97.694283,33.982469],[-97.458774,33.905791],[-97.371143,33.823637],[-97.256128,33.861976],[-97.173974,33.736006],[-96.922034,33.960561],[-96.850834,33.845545],[-96.631756,33.845545],[-96.423633,33.774345],[-96.346956,33.686714],[-96.149786,33.840068],[-95.936185,33.889361],[-95.8376,33.834591],[-95.602092,33.933176],[-95.547322,33.878407],[-95.289906,33.87293],[-95.224183,33.960561],[-94.966767,33.861976],[-94.868182,33.74696],[-94.484796,33.637421],[-94.380734,33.544313],[-94.183564,33.593606],[-94.041164,33.54979],[-94.041164,33.018527],[-94.041164,31.994339],[-93.822086,31.775262],[-93.816609,31.556184],[-93.542762,31.15089],[-93.526331,30.93729],[-93.630393,30.679874],[-93.728978,30.575812],[-93.696116,30.438888],[-93.767317,30.334826],[-93.690639,30.143133],[-93.926148,29.787132],[-93.838517,29.688547],[-94.002825,29.68307],[-94.523134,29.546147],[-94.70935,29.622824],[-94.742212,29.787132],[-94.873659,29.672117],[-94.966767,29.699501],[-95.016059,29.557101],[-94.911997,29.496854],[-94.895566,29.310638],[-95.081782,29.113469],[-95.383014,28.867006],[-95.985477,28.604113],[-96.045724,28.647929],[-96.226463,28.582205],[-96.23194,28.642452],[-96.478402,28.598636],[-96.593418,28.724606],[-96.664618,28.697221],[-96.401725,28.439805],[-96.593418,28.357651],[-96.774157,28.406943],[-96.801542,28.226204],[-97.026096,28.039988],[-97.256128,27.694941],[-97.404005,27.333463],[-97.513544,27.360848],[-97.540929,27.229401],[-97.425913,27.262263],[-97.480682,26.99937],[-97.557359,26.988416],[-97.562836,26.840538],[-97.469728,26.758384],[-97.442344,26.457153],[-97.332805,26.353091],[-97.30542,26.161398],[-97.217789,25.991613],[-97.524498,25.887551],[-97.650467,26.018997],[-97.885976,26.06829],[-98.198161,26.057336],[-98.466531,26.221644],[-98.669178,26.238075],[-98.822533,26.369522],[-99.030656,26.413337],[-99.173057,26.539307],[-99.266165,26.840538],[-99.446904,27.021277],[-99.424996,27.174632],[-99.50715,27.33894],[-99.479765,27.48134],[-99.605735,27.640172],[-99.709797,27.656603],[-99.879582,27.799003],[-99.934351,27.979742],[-100.082229,28.14405],[-100.29583,28.280974],[-100.399891,28.582205],[-100.498476,28.66436],[-100.629923,28.905345],[-100.673738,29.102515],[-100.799708,29.244915],[-101.013309,29.370885],[-101.062601,29.458516],[-101.259771,29.535193],[-101.413125,29.754271],[-101.851281,29.803563],[-102.114174,29.792609],[-102.338728,29.869286],[-102.388021,29.765225],[-102.629006,29.732363],[-102.809745,29.524239],[-102.919284,29.190146],[-102.97953,29.184669],[-103.116454,28.987499],[-103.280762,28.982022],[-103.527224,29.135376],[-104.146119,29.381839],[-104.266611,29.513285],[-104.507597,29.639255],[-104.677382,29.924056],[-104.688336,30.181472],[-104.858121,30.389596],[-104.896459,30.570335],[-105.005998,30.685351],[-105.394861,30.855136],[-105.602985,31.085167],[-105.77277,31.167321],[-105.953509,31.364491],[-106.205448,31.468553],[-106.38071,31.731446],[-106.528588,31.786216],[-106.643603,31.901231],[-106.616219,31.999816],[-103.067161,31.999816],[-103.067161,33.002096],[-103.045254,34.01533],[-103.039777,36.501861],[-103.001438,36.501861],[-101.812942,36.501861]]]}},</v>
      </c>
    </row>
    <row r="46" spans="1:24" x14ac:dyDescent="0.3">
      <c r="A46" t="s">
        <v>324</v>
      </c>
      <c r="B46" t="s">
        <v>261</v>
      </c>
      <c r="C46" t="str">
        <f t="shared" si="3"/>
        <v>"housevalue":320900}</v>
      </c>
      <c r="D46" t="str">
        <f t="shared" ca="1" si="10"/>
        <v>"hv01":165300,</v>
      </c>
      <c r="E46" t="str">
        <f t="shared" ca="1" si="10"/>
        <v>"hv02":165400,</v>
      </c>
      <c r="F46" t="str">
        <f t="shared" ca="1" si="10"/>
        <v>"hv03":169700,</v>
      </c>
      <c r="G46" t="str">
        <f t="shared" ca="1" si="10"/>
        <v>"hv04":169000,</v>
      </c>
      <c r="H46" t="str">
        <f t="shared" ca="1" si="10"/>
        <v>"hv05":181000,</v>
      </c>
      <c r="I46" t="str">
        <f t="shared" ca="1" si="10"/>
        <v>"hv06":212400,</v>
      </c>
      <c r="J46" t="str">
        <f t="shared" ca="1" si="10"/>
        <v>"hv07":243500,</v>
      </c>
      <c r="K46" t="str">
        <f t="shared" ca="1" si="10"/>
        <v>"hv08":238000,</v>
      </c>
      <c r="L46" t="str">
        <f t="shared" ca="1" si="10"/>
        <v>"hv09":218500,</v>
      </c>
      <c r="M46" t="str">
        <f t="shared" ca="1" si="10"/>
        <v>"hv10":203700,</v>
      </c>
      <c r="N46" t="str">
        <f t="shared" ca="1" si="10"/>
        <v>"hv11":193500,</v>
      </c>
      <c r="O46" t="str">
        <f t="shared" ca="1" si="10"/>
        <v>"hv12":198200,</v>
      </c>
      <c r="P46" t="str">
        <f t="shared" ca="1" si="10"/>
        <v>"hv13":217500,</v>
      </c>
      <c r="Q46" t="str">
        <f t="shared" ca="1" si="10"/>
        <v>"hv14":229700,</v>
      </c>
      <c r="R46" t="str">
        <f t="shared" ca="1" si="10"/>
        <v>"hv15":244400,</v>
      </c>
      <c r="S46" t="str">
        <f t="shared" ca="1" si="10"/>
        <v>"hv16":265000,</v>
      </c>
      <c r="T46" t="str">
        <f t="shared" ca="1" si="9"/>
        <v>"hv17":291300}</v>
      </c>
      <c r="U46" t="str">
        <f t="shared" ca="1" si="5"/>
        <v>"hv01":165300,"hv02":165400,"hv03":169700,"hv04":169000,"hv05":181000,"hv06":212400,"hv07":243500,"hv08":238000,"hv09":218500,"hv10":203700,"hv11":193500,"hv12":198200,"hv13":217500,"hv14":229700,"hv15":244400,"hv16":265000,"hv17":291300}</v>
      </c>
      <c r="V46" t="s">
        <v>381</v>
      </c>
      <c r="X46" s="4" t="str">
        <f t="shared" si="4"/>
        <v xml:space="preserve">    {"type":"Feature","id":"49","properties":{"name":"Utah","hv01":165300,"hv02":165400,"hv03":169700,"hv04":169000,"hv05":181000,"hv06":212400,"hv07":243500,"hv08":238000,"hv09":218500,"hv10":203700,"hv11":193500,"hv12":198200,"hv13":217500,"hv14":229700,"hv15":244400,"hv16":265000,"hv17":291300},"geometry":{"type":"Polygon","coordinates":[[[-112.164359,41.995232],[-111.047063,42.000709],[-111.047063,40.998429],[-109.04798,40.998429],[-109.053457,39.125316],[-109.058934,38.27639],[-109.042503,38.166851],[-109.042503,37.000263],[-110.499369,37.00574],[-114.048427,37.000263],[-114.04295,41.995232],[-112.164359,41.995232]]]}},</v>
      </c>
    </row>
    <row r="47" spans="1:24" x14ac:dyDescent="0.3">
      <c r="A47" t="s">
        <v>325</v>
      </c>
      <c r="B47" t="s">
        <v>276</v>
      </c>
      <c r="C47" t="str">
        <f t="shared" si="3"/>
        <v>"housevalue":200000}</v>
      </c>
      <c r="D47" t="str">
        <f t="shared" ca="1" si="10"/>
        <v>"hv01":120600,</v>
      </c>
      <c r="E47" t="str">
        <f t="shared" ca="1" si="10"/>
        <v>"hv02":132200,</v>
      </c>
      <c r="F47" t="str">
        <f t="shared" ca="1" si="10"/>
        <v>"hv03":146100,</v>
      </c>
      <c r="G47" t="str">
        <f t="shared" ca="1" si="10"/>
        <v>"hv04":164500,</v>
      </c>
      <c r="H47" t="str">
        <f t="shared" ca="1" si="10"/>
        <v>"hv05":184100,</v>
      </c>
      <c r="I47" t="str">
        <f t="shared" ca="1" si="10"/>
        <v>"hv06":191700,</v>
      </c>
      <c r="J47" t="str">
        <f t="shared" ca="1" si="10"/>
        <v>"hv07":192100,</v>
      </c>
      <c r="K47" t="str">
        <f t="shared" ca="1" si="10"/>
        <v>"hv08":185200,</v>
      </c>
      <c r="L47" t="str">
        <f t="shared" ca="1" si="10"/>
        <v>"hv09":178400,</v>
      </c>
      <c r="M47" t="str">
        <f t="shared" ca="1" si="10"/>
        <v>"hv10":179400,</v>
      </c>
      <c r="N47" t="str">
        <f t="shared" ca="1" si="10"/>
        <v>"hv11":179200,</v>
      </c>
      <c r="O47" t="str">
        <f t="shared" ca="1" si="10"/>
        <v>"hv12":179100,</v>
      </c>
      <c r="P47" t="str">
        <f t="shared" ca="1" si="10"/>
        <v>"hv13":181100,</v>
      </c>
      <c r="Q47" t="str">
        <f t="shared" ca="1" si="10"/>
        <v>"hv14":183300,</v>
      </c>
      <c r="R47" t="str">
        <f t="shared" ca="1" si="10"/>
        <v>"hv15":183300,</v>
      </c>
      <c r="S47" t="str">
        <f t="shared" ca="1" si="10"/>
        <v>"hv16":187300,</v>
      </c>
      <c r="T47" t="str">
        <f t="shared" ca="1" si="9"/>
        <v>"hv17":194100}</v>
      </c>
      <c r="U47" t="str">
        <f t="shared" ca="1" si="5"/>
        <v>"hv01":120600,"hv02":132200,"hv03":146100,"hv04":164500,"hv05":184100,"hv06":191700,"hv07":192100,"hv08":185200,"hv09":178400,"hv10":179400,"hv11":179200,"hv12":179100,"hv13":181100,"hv14":183300,"hv15":183300,"hv16":187300,"hv17":194100}</v>
      </c>
      <c r="V47" t="s">
        <v>382</v>
      </c>
      <c r="X47" s="4" t="str">
        <f t="shared" si="4"/>
        <v xml:space="preserve">    {"type":"Feature","id":"50","properties":{"name":"Vermont","hv01":120600,"hv02":132200,"hv03":146100,"hv04":164500,"hv05":184100,"hv06":191700,"hv07":192100,"hv08":185200,"hv09":178400,"hv10":179400,"hv11":179200,"hv12":179100,"hv13":181100,"hv14":183300,"hv15":183300,"hv16":187300,"hv17":194100},"geometry":{"type":"Polygon","coordinates":[[[-71.503554,45.013027],[-71.4926,44.914442],[-71.629524,44.750133],[-71.536416,44.585825],[-71.700724,44.41604],[-72.034817,44.322932],[-72.02934,44.07647],[-72.116971,43.994316],[-72.204602,43.769761],[-72.379864,43.572591],[-72.456542,43.150867],[-72.445588,43.008466],[-72.533219,42.953697],[-72.544173,42.80582],[-72.456542,42.729142],[-73.267129,42.745573],[-73.278083,42.833204],[-73.245221,43.523299],[-73.404052,43.687607],[-73.349283,43.769761],[-73.436914,44.043608],[-73.321898,44.246255],[-73.294514,44.437948],[-73.387622,44.618687],[-73.332852,44.804903],[-73.343806,45.013027],[-72.308664,45.002073],[-71.503554,45.013027]]]}},</v>
      </c>
    </row>
    <row r="48" spans="1:24" x14ac:dyDescent="0.3">
      <c r="A48" t="s">
        <v>326</v>
      </c>
      <c r="B48" t="s">
        <v>239</v>
      </c>
      <c r="C48" t="str">
        <f t="shared" si="3"/>
        <v>"housevalue":252900}</v>
      </c>
      <c r="D48" t="str">
        <f t="shared" ca="1" si="10"/>
        <v>"hv01":145500,</v>
      </c>
      <c r="E48" t="str">
        <f t="shared" ca="1" si="10"/>
        <v>"hv02":160200,</v>
      </c>
      <c r="F48" t="str">
        <f t="shared" ca="1" si="10"/>
        <v>"hv03":180500,</v>
      </c>
      <c r="G48" t="str">
        <f t="shared" ca="1" si="10"/>
        <v>"hv04":223800,</v>
      </c>
      <c r="H48" t="str">
        <f t="shared" ca="1" si="10"/>
        <v>"hv05":260400,</v>
      </c>
      <c r="I48" t="str">
        <f t="shared" ca="1" si="10"/>
        <v>"hv06":264700,</v>
      </c>
      <c r="J48" t="str">
        <f t="shared" ca="1" si="10"/>
        <v>"hv07":257000,</v>
      </c>
      <c r="K48" t="str">
        <f t="shared" ca="1" si="10"/>
        <v>"hv08":233500,</v>
      </c>
      <c r="L48" t="str">
        <f t="shared" ca="1" si="10"/>
        <v>"hv09":219300,</v>
      </c>
      <c r="M48" t="str">
        <f t="shared" ca="1" si="10"/>
        <v>"hv10":212200,</v>
      </c>
      <c r="N48" t="str">
        <f t="shared" ca="1" si="10"/>
        <v>"hv11":204500,</v>
      </c>
      <c r="O48" t="str">
        <f t="shared" ca="1" si="10"/>
        <v>"hv12":210000,</v>
      </c>
      <c r="P48" t="str">
        <f t="shared" ca="1" si="10"/>
        <v>"hv13":217700,</v>
      </c>
      <c r="Q48" t="str">
        <f t="shared" ca="1" si="10"/>
        <v>"hv14":223000,</v>
      </c>
      <c r="R48" t="str">
        <f t="shared" ca="1" si="10"/>
        <v>"hv15":227900,</v>
      </c>
      <c r="S48" t="str">
        <f t="shared" ca="1" si="10"/>
        <v>"hv16":236800,</v>
      </c>
      <c r="T48" t="str">
        <f t="shared" ca="1" si="9"/>
        <v>"hv17":246400}</v>
      </c>
      <c r="U48" t="str">
        <f t="shared" ca="1" si="5"/>
        <v>"hv01":145500,"hv02":160200,"hv03":180500,"hv04":223800,"hv05":260400,"hv06":264700,"hv07":257000,"hv08":233500,"hv09":219300,"hv10":212200,"hv11":204500,"hv12":210000,"hv13":217700,"hv14":223000,"hv15":227900,"hv16":236800,"hv17":246400}</v>
      </c>
      <c r="V48" t="s">
        <v>383</v>
      </c>
      <c r="X48" s="4" t="str">
        <f t="shared" si="4"/>
        <v xml:space="preserve">    {"type":"Feature","id":"51","properties":{"name":"Virginia","hv01":145500,"hv02":160200,"hv03":180500,"hv04":223800,"hv05":260400,"hv06":264700,"hv07":257000,"hv08":233500,"hv09":219300,"hv10":212200,"hv11":204500,"hv12":210000,"hv13":217700,"hv14":223000,"hv15":227900,"hv16":236800,"hv17":246400},"geometry":{"type":"MultiPolygon","coordinates":[[[[-75.397659,38.013497],[-75.244304,38.029928],[-75.375751,37.860142],[-75.512674,37.799896],[-75.594828,37.569865],[-75.802952,37.197433],[-75.972737,37.120755],[-76.027507,37.257679],[-75.939876,37.564388],[-75.671506,37.95325],[-75.397659,38.013497]]],[[[-76.016553,37.95325],[-75.994645,37.95325],[-76.043938,37.95325],[-76.016553,37.95325]]],[[[-78.349729,39.464886],[-77.82942,39.130793],[-77.719881,39.322485],[-77.566527,39.306055],[-77.456988,39.223901],[-77.456988,39.076023],[-77.248864,39.026731],[-77.117418,38.933623],[-77.040741,38.791222],[-77.128372,38.632391],[-77.248864,38.588575],[-77.325542,38.446175],[-77.281726,38.342113],[-77.013356,38.374975],[-76.964064,38.216144],[-76.613539,38.15042],[-76.514954,38.024451],[-76.235631,37.887527],[-76.3616,37.608203],[-76.246584,37.389126],[-76.383508,37.285064],[-76.399939,37.159094],[-76.273969,37.082417],[-76.410893,36.961924],[-76.619016,37.120755],[-76.668309,37.065986],[-76.48757,36.95097],[-75.994645,36.923586],[-75.868676,36.551154],[-79.510841,36.5402],[-80.294043,36.545677],[-80.978661,36.562108],[-81.679709,36.589492],[-83.673316,36.600446],[-83.136575,36.742847],[-83.070852,36.852385],[-82.879159,36.890724],[-82.868205,36.978355],[-82.720328,37.044078],[-82.720328,37.120755],[-82.353373,37.268633],[-81.969987,37.537003],[-81.986418,37.454849],[-81.849494,37.285064],[-81.679709,37.20291],[-81.55374,37.208387],[-81.362047,37.339833],[-81.225123,37.235771],[-80.967707,37.290541],[-80.513121,37.482234],[-80.474782,37.421987],[-80.29952,37.509618],[-80.294043,37.690357],[-80.184505,37.849189],[-79.998289,37.997066],[-79.921611,38.177805],[-79.724442,38.364021],[-79.647764,38.594052],[-79.477979,38.457129],[-79.313671,38.413313],[-79.209609,38.495467],[-78.996008,38.851469],[-78.870039,38.763838],[-78.404499,39.169131],[-78.349729,39.464886]]]]}},</v>
      </c>
    </row>
    <row r="49" spans="1:24" x14ac:dyDescent="0.3">
      <c r="A49" t="s">
        <v>327</v>
      </c>
      <c r="B49" t="s">
        <v>240</v>
      </c>
      <c r="C49" t="str">
        <f t="shared" si="3"/>
        <v>"housevalue":375200}</v>
      </c>
      <c r="D49" t="str">
        <f t="shared" ca="1" si="10"/>
        <v>"hv01":179300,</v>
      </c>
      <c r="E49" t="str">
        <f t="shared" ca="1" si="10"/>
        <v>"hv02":184900,</v>
      </c>
      <c r="F49" t="str">
        <f t="shared" ca="1" si="10"/>
        <v>"hv03":199900,</v>
      </c>
      <c r="G49" t="str">
        <f t="shared" ca="1" si="10"/>
        <v>"hv04":228500,</v>
      </c>
      <c r="H49" t="str">
        <f t="shared" ca="1" si="10"/>
        <v>"hv05":271600,</v>
      </c>
      <c r="I49" t="str">
        <f t="shared" ca="1" si="10"/>
        <v>"hv06":303300,</v>
      </c>
      <c r="J49" t="str">
        <f t="shared" ca="1" si="10"/>
        <v>"hv07":303200,</v>
      </c>
      <c r="K49" t="str">
        <f t="shared" ca="1" si="10"/>
        <v>"hv08":276900,</v>
      </c>
      <c r="L49" t="str">
        <f t="shared" ca="1" si="10"/>
        <v>"hv09":253200,</v>
      </c>
      <c r="M49" t="str">
        <f t="shared" ca="1" si="10"/>
        <v>"hv10":235900,</v>
      </c>
      <c r="N49" t="str">
        <f t="shared" ca="1" si="10"/>
        <v>"hv11":217100,</v>
      </c>
      <c r="O49" t="str">
        <f t="shared" ca="1" si="10"/>
        <v>"hv12":223500,</v>
      </c>
      <c r="P49" t="str">
        <f t="shared" ca="1" si="10"/>
        <v>"hv13":244000,</v>
      </c>
      <c r="Q49" t="str">
        <f t="shared" ca="1" si="10"/>
        <v>"hv14":259900,</v>
      </c>
      <c r="R49" t="str">
        <f t="shared" ca="1" si="10"/>
        <v>"hv15":285200,</v>
      </c>
      <c r="S49" t="str">
        <f t="shared" ca="1" si="10"/>
        <v>"hv16":320500,</v>
      </c>
      <c r="T49" t="str">
        <f t="shared" ca="1" si="9"/>
        <v>"hv17":354700}</v>
      </c>
      <c r="U49" t="str">
        <f t="shared" ca="1" si="5"/>
        <v>"hv01":179300,"hv02":184900,"hv03":199900,"hv04":228500,"hv05":271600,"hv06":303300,"hv07":303200,"hv08":276900,"hv09":253200,"hv10":235900,"hv11":217100,"hv12":223500,"hv13":244000,"hv14":259900,"hv15":285200,"hv16":320500,"hv17":354700}</v>
      </c>
      <c r="V49" t="s">
        <v>384</v>
      </c>
      <c r="X49" s="4" t="str">
        <f t="shared" si="4"/>
        <v xml:space="preserve">    {"type":"Feature","id":"53","properties":{"name":"Washington","hv01":179300,"hv02":184900,"hv03":199900,"hv04":228500,"hv05":271600,"hv06":303300,"hv07":303200,"hv08":276900,"hv09":253200,"hv10":235900,"hv11":217100,"hv12":223500,"hv13":244000,"hv14":259900,"hv15":285200,"hv16":320500,"hv17":354700},"geometry":{"type":"MultiPolygon","coordinates":[[[[-117.033359,49.000239],[-117.044313,47.762451],[-117.038836,46.426077],[-117.055267,46.343923],[-116.92382,46.168661],[-116.918344,45.993399],[-118.988627,45.998876],[-119.125551,45.933153],[-119.525367,45.911245],[-119.963522,45.823614],[-120.209985,45.725029],[-120.505739,45.697644],[-120.637186,45.746937],[-121.18488,45.604536],[-121.217742,45.670259],[-121.535404,45.725029],[-121.809251,45.708598],[-122.247407,45.549767],[-122.762239,45.659305],[-122.811531,45.960537],[-122.904639,46.08103],[-123.11824,46.185092],[-123.211348,46.174138],[-123.370179,46.146753],[-123.545441,46.261769],[-123.72618,46.300108],[-123.874058,46.239861],[-124.065751,46.327492],[-124.027412,46.464416],[-123.895966,46.535616],[-124.098612,46.74374],[-124.235536,47.285957],[-124.31769,47.357157],[-124.427229,47.740543],[-124.624399,47.88842],[-124.706553,48.184175],[-124.597014,48.381345],[-124.394367,48.288237],[-123.983597,48.162267],[-123.704273,48.167744],[-123.424949,48.118452],[-123.162056,48.167744],[-123.036086,48.080113],[-122.800578,48.08559],[-122.636269,47.866512],[-122.515777,47.882943],[-122.493869,47.587189],[-122.422669,47.318818],[-122.324084,47.346203],[-122.422669,47.576235],[-122.395284,47.800789],[-122.230976,48.030821],[-122.362422,48.123929],[-122.373376,48.288237],[-122.471961,48.468976],[-122.422669,48.600422],[-122.488392,48.753777],[-122.647223,48.775685],[-122.795101,48.8907],[-122.756762,49.000239],[-117.033359,49.000239]]],[[[-122.718423,48.310145],[-122.586977,48.35396],[-122.608885,48.151313],[-122.767716,48.227991],[-122.718423,48.310145]]],[[[-123.025132,48.583992],[-122.915593,48.715438],[-122.767716,48.556607],[-122.811531,48.419683],[-123.041563,48.458022],[-123.025132,48.583992]]]]}},</v>
      </c>
    </row>
    <row r="50" spans="1:24" x14ac:dyDescent="0.3">
      <c r="A50" t="s">
        <v>328</v>
      </c>
      <c r="B50" t="s">
        <v>264</v>
      </c>
      <c r="C50" t="str">
        <f t="shared" si="3"/>
        <v>"housevalue":96800}</v>
      </c>
      <c r="D50" t="str">
        <f t="shared" ca="1" si="10"/>
        <v>"hv01":61400,</v>
      </c>
      <c r="E50" t="str">
        <f t="shared" ca="1" si="10"/>
        <v>"hv02":65900,</v>
      </c>
      <c r="F50" t="str">
        <f t="shared" ca="1" si="10"/>
        <v>"hv03":68900,</v>
      </c>
      <c r="G50" t="str">
        <f t="shared" ca="1" si="10"/>
        <v>"hv04":77500,</v>
      </c>
      <c r="H50" t="str">
        <f t="shared" ca="1" si="10"/>
        <v>"hv05":81300,</v>
      </c>
      <c r="I50" t="str">
        <f t="shared" ca="1" si="10"/>
        <v>"hv06":84400,</v>
      </c>
      <c r="J50" t="str">
        <f t="shared" ca="1" si="10"/>
        <v>"hv07":83800,</v>
      </c>
      <c r="K50" t="str">
        <f t="shared" ca="1" si="10"/>
        <v>"hv08":81900,</v>
      </c>
      <c r="L50" t="str">
        <f t="shared" ca="1" si="10"/>
        <v>"hv09":80500,</v>
      </c>
      <c r="M50" t="str">
        <f t="shared" ca="1" si="10"/>
        <v>"hv10":80600,</v>
      </c>
      <c r="N50" t="str">
        <f t="shared" ca="1" si="10"/>
        <v>"hv11":79500,</v>
      </c>
      <c r="O50" t="str">
        <f t="shared" ca="1" si="10"/>
        <v>"hv12":80600,</v>
      </c>
      <c r="P50" t="str">
        <f t="shared" ca="1" si="10"/>
        <v>"hv13":83000,</v>
      </c>
      <c r="Q50" t="str">
        <f t="shared" ca="1" si="10"/>
        <v>"hv14":84500,</v>
      </c>
      <c r="R50" t="str">
        <f t="shared" ca="1" si="10"/>
        <v>"hv15":89000,</v>
      </c>
      <c r="S50" t="str">
        <f t="shared" ca="1" si="10"/>
        <v>"hv16":90500,</v>
      </c>
      <c r="T50" t="str">
        <f t="shared" ca="1" si="9"/>
        <v>"hv17":92400}</v>
      </c>
      <c r="U50" t="str">
        <f t="shared" ca="1" si="5"/>
        <v>"hv01":61400,"hv02":65900,"hv03":68900,"hv04":77500,"hv05":81300,"hv06":84400,"hv07":83800,"hv08":81900,"hv09":80500,"hv10":80600,"hv11":79500,"hv12":80600,"hv13":83000,"hv14":84500,"hv15":89000,"hv16":90500,"hv17":92400}</v>
      </c>
      <c r="V50" t="s">
        <v>385</v>
      </c>
      <c r="X50" s="4" t="str">
        <f t="shared" si="4"/>
        <v xml:space="preserve">    {"type":"Feature","id":"54","properties":{"name":"West Virginia","hv01":61400,"hv02":65900,"hv03":68900,"hv04":77500,"hv05":81300,"hv06":84400,"hv07":83800,"hv08":81900,"hv09":80500,"hv10":80600,"hv11":79500,"hv12":80600,"hv13":83000,"hv14":84500,"hv15":89000,"hv16":90500,"hv17":92400},"geometry":{"type":"Polygon","coordinates":[[[-80.518598,40.636951],[-80.518598,39.722302],[-79.477979,39.722302],[-79.488933,39.20747],[-79.291763,39.300578],[-79.094593,39.470363],[-78.963147,39.437501],[-78.765977,39.585379],[-78.470222,39.514178],[-78.431884,39.623717],[-78.267575,39.61824],[-78.174467,39.694917],[-78.004682,39.601809],[-77.834897,39.601809],[-77.719881,39.322485],[-77.82942,39.130793],[-78.349729,39.464886],[-78.404499,39.169131],[-78.870039,38.763838],[-78.996008,38.851469],[-79.209609,38.495467],[-79.313671,38.413313],[-79.477979,38.457129],[-79.647764,38.594052],[-79.724442,38.364021],[-79.921611,38.177805],[-79.998289,37.997066],[-80.184505,37.849189],[-80.294043,37.690357],[-80.29952,37.509618],[-80.474782,37.421987],[-80.513121,37.482234],[-80.967707,37.290541],[-81.225123,37.235771],[-81.362047,37.339833],[-81.55374,37.208387],[-81.679709,37.20291],[-81.849494,37.285064],[-81.986418,37.454849],[-81.969987,37.537003],[-82.101434,37.553434],[-82.293127,37.668449],[-82.342419,37.783465],[-82.50125,37.931343],[-82.621743,38.123036],[-82.594358,38.424267],[-82.331465,38.446175],[-82.293127,38.577622],[-82.172634,38.632391],[-82.221926,38.785745],[-82.03571,39.026731],[-81.887833,38.873376],[-81.783771,38.966484],[-81.811156,39.0815],[-81.685186,39.273193],[-81.57017,39.267716],[-81.455155,39.410117],[-81.345616,39.344393],[-81.219646,39.388209],[-80.830783,39.711348],[-80.737675,40.078303],[-80.600752,40.319289],[-80.595275,40.472643],[-80.666475,40.582182],[-80.518598,40.636951]]]}},</v>
      </c>
    </row>
    <row r="51" spans="1:24" x14ac:dyDescent="0.3">
      <c r="A51" t="s">
        <v>329</v>
      </c>
      <c r="B51" t="s">
        <v>247</v>
      </c>
      <c r="C51" t="str">
        <f t="shared" si="3"/>
        <v>"housevalue":181800}</v>
      </c>
      <c r="D51" t="str">
        <f t="shared" ca="1" si="10"/>
        <v>"hv01":133500,</v>
      </c>
      <c r="E51" t="str">
        <f t="shared" ca="1" si="10"/>
        <v>"hv02":141500,</v>
      </c>
      <c r="F51" t="str">
        <f t="shared" ca="1" si="10"/>
        <v>"hv03":150400,</v>
      </c>
      <c r="G51" t="str">
        <f t="shared" ca="1" si="10"/>
        <v>"hv04":161000,</v>
      </c>
      <c r="H51" t="str">
        <f t="shared" ca="1" si="10"/>
        <v>"hv05":157900,</v>
      </c>
      <c r="I51" t="str">
        <f t="shared" ca="1" si="10"/>
        <v>"hv06":160900,</v>
      </c>
      <c r="J51" t="str">
        <f t="shared" ca="1" si="10"/>
        <v>"hv07":161000,</v>
      </c>
      <c r="K51" t="str">
        <f t="shared" ca="1" si="10"/>
        <v>"hv08":154800,</v>
      </c>
      <c r="L51" t="str">
        <f t="shared" ca="1" si="10"/>
        <v>"hv09":149700,</v>
      </c>
      <c r="M51" t="str">
        <f t="shared" ca="1" si="10"/>
        <v>"hv10":144100,</v>
      </c>
      <c r="N51" t="str">
        <f t="shared" ca="1" si="10"/>
        <v>"hv11":139100,</v>
      </c>
      <c r="O51" t="str">
        <f t="shared" ca="1" si="10"/>
        <v>"hv12":139400,</v>
      </c>
      <c r="P51" t="str">
        <f t="shared" ca="1" si="10"/>
        <v>"hv13":145300,</v>
      </c>
      <c r="Q51" t="str">
        <f t="shared" ca="1" si="10"/>
        <v>"hv14":147300,</v>
      </c>
      <c r="R51" t="str">
        <f t="shared" ca="1" si="10"/>
        <v>"hv15":153500,</v>
      </c>
      <c r="S51" t="str">
        <f t="shared" ca="1" si="10"/>
        <v>"hv16":162900,</v>
      </c>
      <c r="T51" t="str">
        <f t="shared" ca="1" si="9"/>
        <v>"hv17":173600}</v>
      </c>
      <c r="U51" t="str">
        <f t="shared" ca="1" si="5"/>
        <v>"hv01":133500,"hv02":141500,"hv03":150400,"hv04":161000,"hv05":157900,"hv06":160900,"hv07":161000,"hv08":154800,"hv09":149700,"hv10":144100,"hv11":139100,"hv12":139400,"hv13":145300,"hv14":147300,"hv15":153500,"hv16":162900,"hv17":173600}</v>
      </c>
      <c r="V51" t="s">
        <v>386</v>
      </c>
      <c r="X51" s="4" t="str">
        <f t="shared" si="4"/>
        <v xml:space="preserve">    {"type":"Feature","id":"55","properties":{"name":"Wisconsin","hv01":133500,"hv02":141500,"hv03":150400,"hv04":161000,"hv05":157900,"hv06":160900,"hv07":161000,"hv08":154800,"hv09":149700,"hv10":144100,"hv11":139100,"hv12":139400,"hv13":145300,"hv14":147300,"hv15":153500,"hv16":162900,"hv17":173600},"geometry":{"type":"Polygon","coordinates":[[[-90.415429,46.568478],[-90.229213,46.508231],[-90.119674,46.338446],[-89.09001,46.135799],[-88.662808,45.987922],[-88.531362,46.020784],[-88.10416,45.922199],[-87.989145,45.796229],[-87.781021,45.675736],[-87.791975,45.500474],[-87.885083,45.363551],[-87.649574,45.341643],[-87.742682,45.199243],[-87.589328,45.095181],[-87.627666,44.974688],[-87.819359,44.95278],[-87.983668,44.722749],[-88.043914,44.563917],[-87.928898,44.536533],[-87.775544,44.640595],[-87.611236,44.837764],[-87.403112,44.914442],[-87.238804,45.166381],[-87.03068,45.22115],[-87.047111,45.089704],[-87.189511,44.969211],[-87.468835,44.552964],[-87.545512,44.322932],[-87.540035,44.158624],[-87.644097,44.103854],[-87.737205,43.8793],[-87.704344,43.687607],[-87.791975,43.561637],[-87.912467,43.249452],[-87.885083,43.002989],[-87.76459,42.783912],[-87.802929,42.493634],[-88.788778,42.493634],[-90.639984,42.510065],[-90.711184,42.636034],[-91.067185,42.75105],[-91.143862,42.909881],[-91.176724,43.134436],[-91.056231,43.254929],[-91.204109,43.353514],[-91.215062,43.501391],[-91.269832,43.616407],[-91.242447,43.775238],[-91.43414,43.994316],[-91.592971,44.032654],[-91.877772,44.202439],[-91.927065,44.333886],[-92.233773,44.443425],[-92.337835,44.552964],[-92.545959,44.569394],[-92.808852,44.750133],[-92.737652,45.117088],[-92.75956,45.286874],[-92.644544,45.440228],[-92.770513,45.566198],[-92.885529,45.577151],[-92.869098,45.719552],[-92.639067,45.933153],[-92.354266,46.015307],[-92.29402,46.075553],[-92.29402,46.667063],[-92.091373,46.749217],[-92.014696,46.705401],[-91.790141,46.694447],[-91.09457,46.864232],[-90.837154,46.95734],[-90.749522,46.88614],[-90.886446,46.754694],[-90.55783,46.584908],[-90.415429,46.568478]]]}},</v>
      </c>
    </row>
    <row r="52" spans="1:24" x14ac:dyDescent="0.3">
      <c r="A52" t="s">
        <v>336</v>
      </c>
      <c r="B52" t="s">
        <v>278</v>
      </c>
      <c r="C52" t="str">
        <f t="shared" si="3"/>
        <v>"housevalue":220800}</v>
      </c>
      <c r="D52" t="str">
        <f t="shared" ca="1" si="10"/>
        <v>"hv01":151300,</v>
      </c>
      <c r="E52" t="str">
        <f t="shared" ca="1" si="10"/>
        <v>"hv02":152300,</v>
      </c>
      <c r="F52" t="str">
        <f t="shared" ca="1" si="10"/>
        <v>"hv03":163600,</v>
      </c>
      <c r="G52" t="str">
        <f t="shared" ca="1" si="10"/>
        <v>"hv04":176600,</v>
      </c>
      <c r="H52" t="str">
        <f t="shared" ca="1" si="10"/>
        <v>"hv05":156200,</v>
      </c>
      <c r="I52" t="str">
        <f t="shared" ca="1" si="10"/>
        <v>"hv06":173100,</v>
      </c>
      <c r="J52" t="str">
        <f t="shared" ca="1" si="10"/>
        <v>"hv07":183300,</v>
      </c>
      <c r="K52" t="str">
        <f t="shared" ca="1" si="10"/>
        <v>"hv08":182900,</v>
      </c>
      <c r="L52" t="str">
        <f t="shared" ca="1" si="10"/>
        <v>"hv09":180900,</v>
      </c>
      <c r="M52" t="str">
        <f t="shared" ca="1" si="10"/>
        <v>"hv10":181700,</v>
      </c>
      <c r="N52" t="str">
        <f t="shared" ca="1" si="10"/>
        <v>"hv11":181900,</v>
      </c>
      <c r="O52" t="str">
        <f t="shared" ca="1" si="10"/>
        <v>"hv12":186400,</v>
      </c>
      <c r="P52" t="str">
        <f t="shared" ca="1" si="10"/>
        <v>"hv13":190100,</v>
      </c>
      <c r="Q52" t="str">
        <f t="shared" ca="1" si="10"/>
        <v>"hv14":195100,</v>
      </c>
      <c r="R52" t="str">
        <f t="shared" ca="1" si="10"/>
        <v>"hv15":204400,</v>
      </c>
      <c r="S52" t="str">
        <f t="shared" ca="1" si="10"/>
        <v>"hv16":209400,</v>
      </c>
      <c r="T52" t="str">
        <f t="shared" ca="1" si="9"/>
        <v>"hv17":213000}</v>
      </c>
      <c r="U52" t="str">
        <f t="shared" ca="1" si="5"/>
        <v>"hv01":151300,"hv02":152300,"hv03":163600,"hv04":176600,"hv05":156200,"hv06":173100,"hv07":183300,"hv08":182900,"hv09":180900,"hv10":181700,"hv11":181900,"hv12":186400,"hv13":190100,"hv14":195100,"hv15":204400,"hv16":209400,"hv17":213000}</v>
      </c>
      <c r="V52" t="s">
        <v>387</v>
      </c>
      <c r="X52" s="4" t="str">
        <f t="shared" si="4"/>
        <v xml:space="preserve">    {"type":"Feature","id":"56","properties":{"name":"Wyoming","hv01":151300,"hv02":152300,"hv03":163600,"hv04":176600,"hv05":156200,"hv06":173100,"hv07":183300,"hv08":182900,"hv09":180900,"hv10":181700,"hv11":181900,"hv12":186400,"hv13":190100,"hv14":195100,"hv15":204400,"hv16":209400,"hv17":213000},"geometry":{"type":"Polygon","coordinates":[[[-109.080842,45.002073],[-105.91517,45.002073],[-104.058488,44.996596],[-104.053011,43.002989],[-104.053011,41.003906],[-105.728954,40.998429],[-107.919731,41.003906],[-109.04798,40.998429],[-111.047063,40.998429],[-111.047063,42.000709],[-111.047063,44.476286],[-111.05254,45.002073],[-109.080842,45.002073]]]}}</v>
      </c>
    </row>
    <row r="53" spans="1:24" x14ac:dyDescent="0.3">
      <c r="A53" t="s">
        <v>330</v>
      </c>
      <c r="X53" s="4" t="str">
        <f>A53</f>
        <v xml:space="preserve">    ]};</v>
      </c>
    </row>
    <row r="54" spans="1:24" x14ac:dyDescent="0.3">
      <c r="D54" s="1">
        <v>2</v>
      </c>
      <c r="E54" s="1">
        <f>D54+1</f>
        <v>3</v>
      </c>
      <c r="F54" s="1">
        <f t="shared" ref="F54:T54" si="11">E54+1</f>
        <v>4</v>
      </c>
      <c r="G54" s="1">
        <f t="shared" si="11"/>
        <v>5</v>
      </c>
      <c r="H54" s="1">
        <f t="shared" si="11"/>
        <v>6</v>
      </c>
      <c r="I54" s="1">
        <f t="shared" si="11"/>
        <v>7</v>
      </c>
      <c r="J54" s="1">
        <f t="shared" si="11"/>
        <v>8</v>
      </c>
      <c r="K54" s="1">
        <f t="shared" si="11"/>
        <v>9</v>
      </c>
      <c r="L54" s="1">
        <f t="shared" si="11"/>
        <v>10</v>
      </c>
      <c r="M54" s="1">
        <f t="shared" si="11"/>
        <v>11</v>
      </c>
      <c r="N54" s="1">
        <f t="shared" si="11"/>
        <v>12</v>
      </c>
      <c r="O54" s="1">
        <f t="shared" si="11"/>
        <v>13</v>
      </c>
      <c r="P54" s="1">
        <f t="shared" si="11"/>
        <v>14</v>
      </c>
      <c r="Q54" s="1">
        <f t="shared" si="11"/>
        <v>15</v>
      </c>
      <c r="R54" s="1">
        <f t="shared" si="11"/>
        <v>16</v>
      </c>
      <c r="S54" s="1">
        <f t="shared" si="11"/>
        <v>17</v>
      </c>
      <c r="T54" s="1">
        <f t="shared" si="11"/>
        <v>18</v>
      </c>
    </row>
    <row r="55" spans="1:24" x14ac:dyDescent="0.3">
      <c r="D55" s="2" t="s">
        <v>334</v>
      </c>
      <c r="E55" t="str">
        <f>TEXT(D55+1,"00")</f>
        <v>02</v>
      </c>
      <c r="F55" t="str">
        <f t="shared" ref="F55:T55" si="12">TEXT(E55+1,"00")</f>
        <v>03</v>
      </c>
      <c r="G55" t="str">
        <f t="shared" si="12"/>
        <v>04</v>
      </c>
      <c r="H55" t="str">
        <f t="shared" si="12"/>
        <v>05</v>
      </c>
      <c r="I55" t="str">
        <f t="shared" si="12"/>
        <v>06</v>
      </c>
      <c r="J55" t="str">
        <f t="shared" si="12"/>
        <v>07</v>
      </c>
      <c r="K55" t="str">
        <f t="shared" si="12"/>
        <v>08</v>
      </c>
      <c r="L55" t="str">
        <f t="shared" si="12"/>
        <v>09</v>
      </c>
      <c r="M55" t="str">
        <f t="shared" si="12"/>
        <v>10</v>
      </c>
      <c r="N55" t="str">
        <f t="shared" si="12"/>
        <v>11</v>
      </c>
      <c r="O55" t="str">
        <f t="shared" si="12"/>
        <v>12</v>
      </c>
      <c r="P55" t="str">
        <f t="shared" si="12"/>
        <v>13</v>
      </c>
      <c r="Q55" t="str">
        <f t="shared" si="12"/>
        <v>14</v>
      </c>
      <c r="R55" t="str">
        <f t="shared" si="12"/>
        <v>15</v>
      </c>
      <c r="S55" t="str">
        <f t="shared" si="12"/>
        <v>16</v>
      </c>
      <c r="T55" t="str">
        <f t="shared" si="12"/>
        <v>17</v>
      </c>
    </row>
    <row r="56" spans="1:24" x14ac:dyDescent="0.3">
      <c r="D56" t="str">
        <f>"hv"&amp;D55</f>
        <v>hv01</v>
      </c>
      <c r="E56" t="str">
        <f t="shared" ref="E56:T56" si="13">"hv"&amp;E55</f>
        <v>hv02</v>
      </c>
      <c r="F56" t="str">
        <f t="shared" si="13"/>
        <v>hv03</v>
      </c>
      <c r="G56" t="str">
        <f t="shared" si="13"/>
        <v>hv04</v>
      </c>
      <c r="H56" t="str">
        <f t="shared" si="13"/>
        <v>hv05</v>
      </c>
      <c r="I56" t="str">
        <f t="shared" si="13"/>
        <v>hv06</v>
      </c>
      <c r="J56" t="str">
        <f t="shared" si="13"/>
        <v>hv07</v>
      </c>
      <c r="K56" t="str">
        <f t="shared" si="13"/>
        <v>hv08</v>
      </c>
      <c r="L56" t="str">
        <f t="shared" si="13"/>
        <v>hv09</v>
      </c>
      <c r="M56" t="str">
        <f t="shared" si="13"/>
        <v>hv10</v>
      </c>
      <c r="N56" t="str">
        <f t="shared" si="13"/>
        <v>hv11</v>
      </c>
      <c r="O56" t="str">
        <f t="shared" si="13"/>
        <v>hv12</v>
      </c>
      <c r="P56" t="str">
        <f t="shared" si="13"/>
        <v>hv13</v>
      </c>
      <c r="Q56" t="str">
        <f t="shared" si="13"/>
        <v>hv14</v>
      </c>
      <c r="R56" t="str">
        <f t="shared" si="13"/>
        <v>hv15</v>
      </c>
      <c r="S56" t="str">
        <f t="shared" si="13"/>
        <v>hv16</v>
      </c>
      <c r="T56" t="str">
        <f t="shared" si="13"/>
        <v>hv17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HV_PCT_CHG</vt:lpstr>
      <vt:lpstr>HV_RAW_VALUE</vt:lpstr>
      <vt:lpstr>Javascript_pctchg</vt:lpstr>
      <vt:lpstr>Javascript_values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Jones,Derek</dc:creator>
  <cp:lastModifiedBy>jones</cp:lastModifiedBy>
  <dcterms:created xsi:type="dcterms:W3CDTF">2018-11-15T15:31:19Z</dcterms:created>
  <dcterms:modified xsi:type="dcterms:W3CDTF">2018-11-20T01:19:59Z</dcterms:modified>
</cp:coreProperties>
</file>